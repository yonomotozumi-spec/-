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前提" sheetId="2" state="visible" r:id="rId4"/>
    <sheet name="単位経済性" sheetId="3" state="visible" r:id="rId5"/>
    <sheet name="月次PL" sheetId="4" state="visible" r:id="rId6"/>
    <sheet name="感度分析" sheetId="5" state="visible" r:id="rId7"/>
    <sheet name="販売台帳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<sst xmlns="http://schemas.openxmlformats.org/spreadsheetml/2006/main" count="238" uniqueCount="230">
  <si>
    <t xml:space="preserve">越境EC事業 財務モデル</t>
  </si>
  <si>
    <t xml:space="preserve">作成: 2026年8月 / 単位: 特記なき場合は日本円</t>
  </si>
  <si>
    <t xml:space="preserve">■ 使い方</t>
  </si>
  <si>
    <t xml:space="preserve">① 「前提」シート</t>
  </si>
  <si>
    <t xml:space="preserve">青字のセルを自分の商材の数字に書き換えます。ここだけ触れば全シートが連動します。</t>
  </si>
  <si>
    <t xml:space="preserve">② 「単位経済性」シート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</si>
  <si>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商品を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個売ったときの損益。実質貢献利益率が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未満なら、その商材は成立しません。</t>
    </r>
  </si>
  <si>
    <t xml:space="preserve">③ 「月次PL」シート</t>
  </si>
  <si>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ヶ月の売上・貢献利益・固定費。青字の月商と貢献利益率を実績に置き換えて使います。</t>
    </r>
  </si>
  <si>
    <t xml:space="preserve">④ 「感度分析」シート</t>
  </si>
  <si>
    <t xml:space="preserve">仕入原価率と広告費率を動かしたときの実質貢献利益率。赤い領域に入る商材は扱いません。</t>
  </si>
  <si>
    <t xml:space="preserve">⑤ 「販売台帳」シート</t>
  </si>
  <si>
    <t xml:space="preserve">出荷1件ごとの記録テンプレート。消費税還付の証憑管理を兼ねます。</t>
  </si>
  <si>
    <t xml:space="preserve">■ 色のルール</t>
  </si>
  <si>
    <t xml:space="preserve">青字</t>
  </si>
  <si>
    <t xml:space="preserve">手で入力する値。ここを書き換えてください。</t>
  </si>
  <si>
    <t xml:space="preserve">黒字</t>
  </si>
  <si>
    <t xml:space="preserve">数式で計算される値。書き換えないでください。</t>
  </si>
  <si>
    <t xml:space="preserve">緑字</t>
  </si>
  <si>
    <t xml:space="preserve">他のシートを参照している値。書き換えないでください。</t>
  </si>
  <si>
    <t xml:space="preserve">黄色の塗り</t>
  </si>
  <si>
    <t xml:space="preserve">特に重要な前提。事業の成否を左右します。</t>
  </si>
  <si>
    <t xml:space="preserve">■ 注意</t>
  </si>
  <si>
    <t xml:space="preserve">数値はすべて仮置きです</t>
  </si>
  <si>
    <t xml:space="preserve">自社の実績が出たら、必ず実測値に置き換えてください。推定値のまま意思決定をしないこと。</t>
  </si>
  <si>
    <t xml:space="preserve">税務判断ではありません</t>
  </si>
  <si>
    <t xml:space="preserve">消費税還付・輸出免税の適用可否は、必ず税理士に確認してください。</t>
  </si>
  <si>
    <t xml:space="preserve">制度変更に注意</t>
  </si>
  <si>
    <t xml:space="preserve">米国のde minimis廃止・EUの関税改正により、関税前提は変動します。四半期ごとに見直してください。</t>
  </si>
  <si>
    <t xml:space="preserve">前提条件</t>
  </si>
  <si>
    <t xml:space="preserve">青字のセルを書き換えてください。黄色は事業の成否を左右する重要前提です。</t>
  </si>
  <si>
    <t xml:space="preserve">【基本】</t>
  </si>
  <si>
    <t xml:space="preserve">為替レート (JPY/USD)</t>
  </si>
  <si>
    <t xml:space="preserve">計画時のレート。四半期ごとに見直す</t>
  </si>
  <si>
    <t xml:space="preserve">消費税率</t>
  </si>
  <si>
    <t xml:space="preserve">輸出免税により仕入分が還付される</t>
  </si>
  <si>
    <t xml:space="preserve">【単位経済性の前提（1商品あたり）】</t>
  </si>
  <si>
    <t xml:space="preserve">販売価格 (USD)</t>
  </si>
  <si>
    <r>
      <rPr>
        <i val="true"/>
        <sz val="9"/>
        <color rgb="FF595959"/>
        <rFont val="Arial"/>
        <family val="0"/>
        <charset val="1"/>
      </rPr>
      <t xml:space="preserve">$80</t>
    </r>
    <r>
      <rPr>
        <i val="true"/>
        <sz val="9"/>
        <color rgb="FF595959"/>
        <rFont val="WenQuanYi Zen Hei"/>
        <family val="2"/>
      </rPr>
      <t xml:space="preserve">未満は成立しにくい（</t>
    </r>
    <r>
      <rPr>
        <i val="true"/>
        <sz val="9"/>
        <color rgb="FF595959"/>
        <rFont val="Arial"/>
        <family val="0"/>
        <charset val="1"/>
      </rPr>
      <t xml:space="preserve">de minimis</t>
    </r>
    <r>
      <rPr>
        <i val="true"/>
        <sz val="9"/>
        <color rgb="FF595959"/>
        <rFont val="WenQuanYi Zen Hei"/>
        <family val="2"/>
      </rPr>
      <t xml:space="preserve">廃止後）</t>
    </r>
  </si>
  <si>
    <t xml:space="preserve">仕入原価・税抜 (JPY)</t>
  </si>
  <si>
    <t xml:space="preserve">最重要変数。仕入先開拓で下げる</t>
  </si>
  <si>
    <t xml:space="preserve">販売手数料率（モール）</t>
  </si>
  <si>
    <r>
      <rPr>
        <i val="true"/>
        <sz val="9"/>
        <color rgb="FF595959"/>
        <rFont val="Arial"/>
        <family val="0"/>
        <charset val="1"/>
      </rPr>
      <t xml:space="preserve">Amazon 15% / eBay 13</t>
    </r>
    <r>
      <rPr>
        <i val="true"/>
        <sz val="9"/>
        <color rgb="FF595959"/>
        <rFont val="WenQuanYi Zen Hei"/>
        <family val="2"/>
      </rPr>
      <t xml:space="preserve">〜</t>
    </r>
    <r>
      <rPr>
        <i val="true"/>
        <sz val="9"/>
        <color rgb="FF595959"/>
        <rFont val="Arial"/>
        <family val="0"/>
        <charset val="1"/>
      </rPr>
      <t xml:space="preserve">15%</t>
    </r>
  </si>
  <si>
    <t xml:space="preserve">出荷手数料 (USD/件)</t>
  </si>
  <si>
    <r>
      <rPr>
        <i val="true"/>
        <sz val="9"/>
        <color rgb="FF595959"/>
        <rFont val="Arial"/>
        <family val="0"/>
        <charset val="1"/>
      </rPr>
      <t xml:space="preserve">FBA</t>
    </r>
    <r>
      <rPr>
        <i val="true"/>
        <sz val="9"/>
        <color rgb="FF595959"/>
        <rFont val="WenQuanYi Zen Hei"/>
        <family val="2"/>
      </rPr>
      <t xml:space="preserve">手数料。直送なら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WenQuanYi Zen Hei"/>
        <family val="2"/>
      </rPr>
      <t xml:space="preserve">にして送料へ寄せる</t>
    </r>
  </si>
  <si>
    <t xml:space="preserve">広告費率（TACoS）</t>
  </si>
  <si>
    <t xml:space="preserve">立ち上げ期は15〜20%。改善余地が大きい</t>
  </si>
  <si>
    <t xml:space="preserve">国際送料・通関費の按分 (USD/件)</t>
  </si>
  <si>
    <t xml:space="preserve">まとめ輸入で下がる</t>
  </si>
  <si>
    <t xml:space="preserve">関税率（実効・売価比）</t>
  </si>
  <si>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年の</t>
    </r>
    <r>
      <rPr>
        <i val="true"/>
        <sz val="9"/>
        <color rgb="FF595959"/>
        <rFont val="Arial"/>
        <family val="0"/>
        <charset val="1"/>
      </rPr>
      <t xml:space="preserve">de minimis</t>
    </r>
    <r>
      <rPr>
        <i val="true"/>
        <sz val="9"/>
        <color rgb="FF595959"/>
        <rFont val="WenQuanYi Zen Hei"/>
        <family val="2"/>
      </rPr>
      <t xml:space="preserve">廃止で新規発生。</t>
    </r>
    <r>
      <rPr>
        <i val="true"/>
        <sz val="9"/>
        <color rgb="FF595959"/>
        <rFont val="Arial"/>
        <family val="0"/>
        <charset val="1"/>
      </rPr>
      <t xml:space="preserve">HS</t>
    </r>
    <r>
      <rPr>
        <i val="true"/>
        <sz val="9"/>
        <color rgb="FF595959"/>
        <rFont val="WenQuanYi Zen Hei"/>
        <family val="2"/>
      </rPr>
      <t xml:space="preserve">コード次第</t>
    </r>
  </si>
  <si>
    <t xml:space="preserve">決済・為替コスト率</t>
  </si>
  <si>
    <t xml:space="preserve">外貨受取手段で変わる</t>
  </si>
  <si>
    <t xml:space="preserve">返品・損失率</t>
  </si>
  <si>
    <t xml:space="preserve">カテゴリにより2〜8%</t>
  </si>
  <si>
    <t xml:space="preserve">【月次固定費 (JPY)】</t>
  </si>
  <si>
    <t xml:space="preserve">役員報酬</t>
  </si>
  <si>
    <t xml:space="preserve">倉庫・保管</t>
  </si>
  <si>
    <t xml:space="preserve">自宅併用なら按分</t>
  </si>
  <si>
    <t xml:space="preserve">税理士顧問料</t>
  </si>
  <si>
    <t xml:space="preserve">越境EC実績のある事務所を選ぶ</t>
  </si>
  <si>
    <t xml:space="preserve">ツール・通信</t>
  </si>
  <si>
    <t xml:space="preserve">保険・雑費</t>
  </si>
  <si>
    <t xml:space="preserve">海外PL保険を含む</t>
  </si>
  <si>
    <t xml:space="preserve">月次固定費 合計</t>
  </si>
  <si>
    <t xml:space="preserve">【初期費用 (JPY)】</t>
  </si>
  <si>
    <t xml:space="preserve">合同会社 設立費用</t>
  </si>
  <si>
    <t xml:space="preserve">電子定款。司法書士報酬込みなら10万円程度</t>
  </si>
  <si>
    <t xml:space="preserve">古物商許可 申請</t>
  </si>
  <si>
    <t xml:space="preserve">中古を扱うなら必須。約40日かかる</t>
  </si>
  <si>
    <t xml:space="preserve">印鑑・登記事項証明書等</t>
  </si>
  <si>
    <t xml:space="preserve">初期仕入れ</t>
  </si>
  <si>
    <r>
      <rPr>
        <i val="true"/>
        <sz val="9"/>
        <color rgb="FF595959"/>
        <rFont val="Arial"/>
        <family val="0"/>
        <charset val="1"/>
      </rPr>
      <t xml:space="preserve">20</t>
    </r>
    <r>
      <rPr>
        <i val="true"/>
        <sz val="9"/>
        <color rgb="FF595959"/>
        <rFont val="WenQuanYi Zen Hei"/>
        <family val="2"/>
      </rPr>
      <t xml:space="preserve">〜</t>
    </r>
    <r>
      <rPr>
        <i val="true"/>
        <sz val="9"/>
        <color rgb="FF595959"/>
        <rFont val="Arial"/>
        <family val="0"/>
        <charset val="1"/>
      </rPr>
      <t xml:space="preserve">30SKU</t>
    </r>
    <r>
      <rPr>
        <i val="true"/>
        <sz val="9"/>
        <color rgb="FF595959"/>
        <rFont val="WenQuanYi Zen Hei"/>
        <family val="2"/>
      </rPr>
      <t xml:space="preserve">分。</t>
    </r>
    <r>
      <rPr>
        <i val="true"/>
        <sz val="9"/>
        <color rgb="FF595959"/>
        <rFont val="Arial"/>
        <family val="0"/>
        <charset val="1"/>
      </rPr>
      <t xml:space="preserve">1SKU</t>
    </r>
    <r>
      <rPr>
        <i val="true"/>
        <sz val="9"/>
        <color rgb="FF595959"/>
        <rFont val="WenQuanYi Zen Hei"/>
        <family val="2"/>
      </rPr>
      <t xml:space="preserve">あたり上限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〜</t>
    </r>
    <r>
      <rPr>
        <i val="true"/>
        <sz val="9"/>
        <color rgb="FF595959"/>
        <rFont val="Arial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万円で分散</t>
    </r>
  </si>
  <si>
    <t xml:space="preserve">撮影機材・梱包資材・PC</t>
  </si>
  <si>
    <t xml:space="preserve">保険（年払）</t>
  </si>
  <si>
    <t xml:space="preserve">会計ソフト・ツール初期</t>
  </si>
  <si>
    <t xml:space="preserve">運転資金バッファ</t>
  </si>
  <si>
    <t xml:space="preserve">固定費3ヶ月分＋追加仕入れ</t>
  </si>
  <si>
    <t xml:space="preserve">初期費用 合計</t>
  </si>
  <si>
    <t xml:space="preserve">【資金】</t>
  </si>
  <si>
    <t xml:space="preserve">創業時 自己資金 (JPY)</t>
  </si>
  <si>
    <t xml:space="preserve">推奨レンジ 300〜500万円</t>
  </si>
  <si>
    <t xml:space="preserve">初期費用差引後の残高</t>
  </si>
  <si>
    <t xml:space="preserve">マイナスなら自己資金か初期費用の見直しが必要</t>
  </si>
  <si>
    <t xml:space="preserve">【運転資金の前提】</t>
  </si>
  <si>
    <t xml:space="preserve">在庫日数（仕入→販売）</t>
  </si>
  <si>
    <t xml:space="preserve">目標は60日以下</t>
  </si>
  <si>
    <t xml:space="preserve">売掛日数（販売→入金）</t>
  </si>
  <si>
    <r>
      <rPr>
        <i val="true"/>
        <sz val="9"/>
        <color rgb="FF595959"/>
        <rFont val="Arial"/>
        <family val="0"/>
        <charset val="1"/>
      </rPr>
      <t xml:space="preserve">Amazon</t>
    </r>
    <r>
      <rPr>
        <i val="true"/>
        <sz val="9"/>
        <color rgb="FF595959"/>
        <rFont val="WenQuanYi Zen Hei"/>
        <family val="2"/>
      </rPr>
      <t xml:space="preserve">は約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週間サイクル</t>
    </r>
  </si>
  <si>
    <t xml:space="preserve">買掛日数（仕入→支払）</t>
  </si>
  <si>
    <t xml:space="preserve">現金仕入れなら0</t>
  </si>
  <si>
    <t xml:space="preserve">現金循環日数 (CCC)</t>
  </si>
  <si>
    <r>
      <rPr>
        <i val="true"/>
        <sz val="9"/>
        <color rgb="FF595959"/>
        <rFont val="Arial"/>
        <family val="0"/>
        <charset val="1"/>
      </rPr>
      <t xml:space="preserve">90</t>
    </r>
    <r>
      <rPr>
        <i val="true"/>
        <sz val="9"/>
        <color rgb="FF595959"/>
        <rFont val="WenQuanYi Zen Hei"/>
        <family val="2"/>
      </rPr>
      <t xml:space="preserve">日以下が目標。成長期は運転資金が先に必要になる</t>
    </r>
  </si>
  <si>
    <t xml:space="preserve">単位経済性（1商品を1個売ったときの損益）</t>
  </si>
  <si>
    <t xml:space="preserve">緑字は「前提」シートを参照しています。数字を変えたい場合は「前提」シートを編集してください。</t>
  </si>
  <si>
    <t xml:space="preserve">項目</t>
  </si>
  <si>
    <t xml:space="preserve">USD</t>
  </si>
  <si>
    <t xml:space="preserve">JPY</t>
  </si>
  <si>
    <t xml:space="preserve">売価比</t>
  </si>
  <si>
    <t xml:space="preserve">備考</t>
  </si>
  <si>
    <t xml:space="preserve">売上</t>
  </si>
  <si>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年の</t>
    </r>
    <r>
      <rPr>
        <i val="true"/>
        <sz val="9"/>
        <color rgb="FF595959"/>
        <rFont val="Arial"/>
        <family val="0"/>
        <charset val="1"/>
      </rPr>
      <t xml:space="preserve">de minimis</t>
    </r>
    <r>
      <rPr>
        <i val="true"/>
        <sz val="9"/>
        <color rgb="FF595959"/>
        <rFont val="WenQuanYi Zen Hei"/>
        <family val="2"/>
      </rPr>
      <t xml:space="preserve">廃止により</t>
    </r>
    <r>
      <rPr>
        <i val="true"/>
        <sz val="9"/>
        <color rgb="FF595959"/>
        <rFont val="Arial"/>
        <family val="0"/>
        <charset val="1"/>
      </rPr>
      <t xml:space="preserve">$80</t>
    </r>
    <r>
      <rPr>
        <i val="true"/>
        <sz val="9"/>
        <color rgb="FF595959"/>
        <rFont val="WenQuanYi Zen Hei"/>
        <family val="2"/>
      </rPr>
      <t xml:space="preserve">未満は成立しにくい</t>
    </r>
  </si>
  <si>
    <t xml:space="preserve">仕入原価（税抜）</t>
  </si>
  <si>
    <t xml:space="preserve">最重要変数。ここを下げるのが唯一最大の競争優位</t>
  </si>
  <si>
    <t xml:space="preserve">販売手数料</t>
  </si>
  <si>
    <t xml:space="preserve">出荷手数料</t>
  </si>
  <si>
    <r>
      <rPr>
        <i val="true"/>
        <sz val="9"/>
        <color rgb="FF595959"/>
        <rFont val="Arial"/>
        <family val="0"/>
        <charset val="1"/>
      </rPr>
      <t xml:space="preserve">FBA</t>
    </r>
    <r>
      <rPr>
        <i val="true"/>
        <sz val="9"/>
        <color rgb="FF595959"/>
        <rFont val="WenQuanYi Zen Hei"/>
        <family val="2"/>
      </rPr>
      <t xml:space="preserve">手数料</t>
    </r>
  </si>
  <si>
    <t xml:space="preserve">広告費</t>
  </si>
  <si>
    <r>
      <rPr>
        <i val="true"/>
        <sz val="9"/>
        <color rgb="FF595959"/>
        <rFont val="Arial"/>
        <family val="0"/>
        <charset val="1"/>
      </rPr>
      <t xml:space="preserve">TACoS</t>
    </r>
    <r>
      <rPr>
        <i val="true"/>
        <sz val="9"/>
        <color rgb="FF595959"/>
        <rFont val="WenQuanYi Zen Hei"/>
        <family val="2"/>
      </rPr>
      <t xml:space="preserve">。改善余地が最も大きい</t>
    </r>
  </si>
  <si>
    <t xml:space="preserve">国際送料・通関費</t>
  </si>
  <si>
    <t xml:space="preserve">関税（DDP）</t>
  </si>
  <si>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年に新規発生した原価。制御できない</t>
    </r>
  </si>
  <si>
    <t xml:space="preserve">決済・為替コスト</t>
  </si>
  <si>
    <t xml:space="preserve">返品・損失引当</t>
  </si>
  <si>
    <t xml:space="preserve">貢献利益（税還付前）</t>
  </si>
  <si>
    <t xml:space="preserve">この時点でマイナスなら即撤退</t>
  </si>
  <si>
    <t xml:space="preserve">消費税還付（仕入税額の戻り）</t>
  </si>
  <si>
    <t xml:space="preserve">輸出免税による。証憑保存を怠るとこれが消える</t>
  </si>
  <si>
    <t xml:space="preserve">実質貢献利益</t>
  </si>
  <si>
    <t xml:space="preserve">★これが事業の実力値</t>
  </si>
  <si>
    <t xml:space="preserve">【判定】</t>
  </si>
  <si>
    <t xml:space="preserve">実質貢献利益率</t>
  </si>
  <si>
    <t xml:space="preserve">仕入原価率</t>
  </si>
  <si>
    <t xml:space="preserve">実質貢献利益額 (USD/件)</t>
  </si>
  <si>
    <t xml:space="preserve">【損益分岐】</t>
  </si>
  <si>
    <t xml:space="preserve">月次固定費 (JPY)</t>
  </si>
  <si>
    <t xml:space="preserve">損益分岐 月商 (JPY)</t>
  </si>
  <si>
    <t xml:space="preserve">必要 月間出荷件数</t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</si>
  <si>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件あたり工数</t>
    </r>
    <r>
      <rPr>
        <i val="true"/>
        <sz val="9"/>
        <color rgb="FF595959"/>
        <rFont val="Arial"/>
        <family val="0"/>
        <charset val="1"/>
      </rPr>
      <t xml:space="preserve">25</t>
    </r>
    <r>
      <rPr>
        <i val="true"/>
        <sz val="9"/>
        <color rgb="FF595959"/>
        <rFont val="WenQuanYi Zen Hei"/>
        <family val="2"/>
      </rPr>
      <t xml:space="preserve">〜</t>
    </r>
    <r>
      <rPr>
        <i val="true"/>
        <sz val="9"/>
        <color rgb="FF595959"/>
        <rFont val="Arial"/>
        <family val="0"/>
        <charset val="1"/>
      </rPr>
      <t xml:space="preserve">38</t>
    </r>
    <r>
      <rPr>
        <i val="true"/>
        <sz val="9"/>
        <color rgb="FF595959"/>
        <rFont val="WenQuanYi Zen Hei"/>
        <family val="2"/>
      </rPr>
      <t xml:space="preserve">分。月</t>
    </r>
    <r>
      <rPr>
        <i val="true"/>
        <sz val="9"/>
        <color rgb="FF595959"/>
        <rFont val="Arial"/>
        <family val="0"/>
        <charset val="1"/>
      </rPr>
      <t xml:space="preserve">160</t>
    </r>
    <r>
      <rPr>
        <i val="true"/>
        <sz val="9"/>
        <color rgb="FF595959"/>
        <rFont val="WenQuanYi Zen Hei"/>
        <family val="2"/>
      </rPr>
      <t xml:space="preserve">件で約</t>
    </r>
    <r>
      <rPr>
        <i val="true"/>
        <sz val="9"/>
        <color rgb="FF595959"/>
        <rFont val="Arial"/>
        <family val="0"/>
        <charset val="1"/>
      </rPr>
      <t xml:space="preserve">70</t>
    </r>
    <r>
      <rPr>
        <i val="true"/>
        <sz val="9"/>
        <color rgb="FF595959"/>
        <rFont val="WenQuanYi Zen Hei"/>
        <family val="2"/>
      </rPr>
      <t xml:space="preserve">〜</t>
    </r>
    <r>
      <rPr>
        <i val="true"/>
        <sz val="9"/>
        <color rgb="FF595959"/>
        <rFont val="Arial"/>
        <family val="0"/>
        <charset val="1"/>
      </rPr>
      <t xml:space="preserve">100</t>
    </r>
    <r>
      <rPr>
        <i val="true"/>
        <sz val="9"/>
        <color rgb="FF595959"/>
        <rFont val="WenQuanYi Zen Hei"/>
        <family val="2"/>
      </rPr>
      <t xml:space="preserve">時間</t>
    </r>
  </si>
  <si>
    <t xml:space="preserve">必要 1日あたり出荷件数</t>
  </si>
  <si>
    <t xml:space="preserve">月22営業日で計算</t>
  </si>
  <si>
    <t xml:space="preserve">【運転資金の目安】</t>
  </si>
  <si>
    <t xml:space="preserve">想定月商 (JPY)</t>
  </si>
  <si>
    <t xml:space="preserve">この月商のときに在庫と売掛に沈む金額を試算する</t>
  </si>
  <si>
    <t xml:space="preserve">必要運転資金 (JPY)</t>
  </si>
  <si>
    <t xml:space="preserve">月商 × (CCC÷30) × 仕入原価率。成長するほど現金が足りなくなる</t>
  </si>
  <si>
    <r>
      <rPr>
        <b val="true"/>
        <sz val="14"/>
        <rFont val="Arial"/>
        <family val="0"/>
        <charset val="1"/>
      </rPr>
      <t xml:space="preserve">24</t>
    </r>
    <r>
      <rPr>
        <b val="true"/>
        <sz val="14"/>
        <rFont val="WenQuanYi Zen Hei"/>
        <family val="2"/>
      </rPr>
      <t xml:space="preserve">ヶ月 損益計画</t>
    </r>
  </si>
  <si>
    <t xml:space="preserve">青字（月商・実質貢献利益率・固定費）を実績や自分の計画に置き換えてください。</t>
  </si>
  <si>
    <t xml:space="preserve">月</t>
  </si>
  <si>
    <t xml:space="preserve">月商 (JPY)</t>
  </si>
  <si>
    <t xml:space="preserve">貢献利益 (JPY)</t>
  </si>
  <si>
    <t xml:space="preserve">固定費 (JPY)</t>
  </si>
  <si>
    <t xml:space="preserve">営業損益 (JPY)</t>
  </si>
  <si>
    <t xml:space="preserve">累計営業損益 (JPY)</t>
  </si>
  <si>
    <t xml:space="preserve">出荷件数</t>
  </si>
  <si>
    <t xml:space="preserve">M1</t>
  </si>
  <si>
    <t xml:space="preserve">設立・許認可・仕入準備</t>
  </si>
  <si>
    <t xml:space="preserve">M2</t>
  </si>
  <si>
    <t xml:space="preserve">初出荷</t>
  </si>
  <si>
    <t xml:space="preserve">M3</t>
  </si>
  <si>
    <t xml:space="preserve">M4</t>
  </si>
  <si>
    <t xml:space="preserve">M5</t>
  </si>
  <si>
    <t xml:space="preserve">M6</t>
  </si>
  <si>
    <r>
      <rPr>
        <i val="true"/>
        <sz val="9"/>
        <color rgb="FF595959"/>
        <rFont val="Arial"/>
        <family val="0"/>
        <charset val="1"/>
      </rPr>
      <t xml:space="preserve">Phase 1 </t>
    </r>
    <r>
      <rPr>
        <i val="true"/>
        <sz val="9"/>
        <color rgb="FF595959"/>
        <rFont val="WenQuanYi Zen Hei"/>
        <family val="2"/>
      </rPr>
      <t xml:space="preserve">開始</t>
    </r>
  </si>
  <si>
    <t xml:space="preserve">M7</t>
  </si>
  <si>
    <t xml:space="preserve">M8</t>
  </si>
  <si>
    <t xml:space="preserve">★ 損益分岐点</t>
  </si>
  <si>
    <t xml:space="preserve">M9</t>
  </si>
  <si>
    <t xml:space="preserve">M10</t>
  </si>
  <si>
    <t xml:space="preserve">M11</t>
  </si>
  <si>
    <t xml:space="preserve">M12</t>
  </si>
  <si>
    <r>
      <rPr>
        <i val="true"/>
        <sz val="9"/>
        <color rgb="FF595959"/>
        <rFont val="Arial"/>
        <family val="0"/>
        <charset val="1"/>
      </rPr>
      <t xml:space="preserve">Phase 2 </t>
    </r>
    <r>
      <rPr>
        <i val="true"/>
        <sz val="9"/>
        <color rgb="FF595959"/>
        <rFont val="WenQuanYi Zen Hei"/>
        <family val="2"/>
      </rPr>
      <t xml:space="preserve">判断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融資検討</t>
    </r>
  </si>
  <si>
    <t xml:space="preserve">M13</t>
  </si>
  <si>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年目開始</t>
    </r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</si>
  <si>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</si>
  <si>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</si>
  <si>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</si>
  <si>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</si>
  <si>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</si>
  <si>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</si>
  <si>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</si>
  <si>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</si>
  <si>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</si>
  <si>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</si>
  <si>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</si>
  <si>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—</t>
  </si>
  <si>
    <r>
      <rPr>
        <b val="true"/>
        <sz val="10"/>
        <rFont val="Arial"/>
        <family val="0"/>
        <charset val="1"/>
      </rPr>
      <t xml:space="preserve">Y1 </t>
    </r>
    <r>
      <rPr>
        <b val="true"/>
        <sz val="1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</si>
  <si>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Y2 </t>
    </r>
    <r>
      <rPr>
        <b val="true"/>
        <sz val="10"/>
        <rFont val="WenQuanYi Zen Hei"/>
        <family val="2"/>
      </rPr>
      <t xml:space="preserve">合計</t>
    </r>
  </si>
  <si>
    <t xml:space="preserve">【健全性チェック】</t>
  </si>
  <si>
    <r>
      <rPr>
        <sz val="10"/>
        <rFont val="Arial"/>
        <family val="0"/>
        <charset val="1"/>
      </rPr>
      <t xml:space="preserve">Y1 </t>
    </r>
    <r>
      <rPr>
        <sz val="10"/>
        <rFont val="WenQuanYi Zen Hei"/>
        <family val="2"/>
      </rPr>
      <t xml:space="preserve">営業損益</t>
    </r>
  </si>
  <si>
    <t xml:space="preserve">自己資金で吸収できるか</t>
  </si>
  <si>
    <t xml:space="preserve">黒字転換月</t>
  </si>
  <si>
    <t xml:space="preserve">感度分析：実質貢献利益率</t>
  </si>
  <si>
    <t xml:space="preserve">行＝仕入原価率、列＝広告費率。その他の前提は「前提」シートに従います。</t>
  </si>
  <si>
    <r>
      <rPr>
        <b val="true"/>
        <sz val="9"/>
        <color rgb="FFC00000"/>
        <rFont val="Arial"/>
        <family val="0"/>
        <charset val="1"/>
      </rPr>
      <t xml:space="preserve">12%</t>
    </r>
    <r>
      <rPr>
        <b val="true"/>
        <sz val="9"/>
        <color rgb="FFC00000"/>
        <rFont val="WenQuanYi Zen Hei"/>
        <family val="2"/>
      </rPr>
      <t xml:space="preserve">未満（赤）の領域に入る商材は扱わない。</t>
    </r>
    <r>
      <rPr>
        <b val="true"/>
        <sz val="9"/>
        <color rgb="FFC00000"/>
        <rFont val="Arial"/>
        <family val="0"/>
        <charset val="1"/>
      </rPr>
      <t xml:space="preserve">18%</t>
    </r>
    <r>
      <rPr>
        <b val="true"/>
        <sz val="9"/>
        <color rgb="FFC00000"/>
        <rFont val="WenQuanYi Zen Hei"/>
        <family val="2"/>
      </rPr>
      <t xml:space="preserve">以上（緑）が目標水準。</t>
    </r>
  </si>
  <si>
    <t xml:space="preserve">仕入原価率 ＼ 広告費率</t>
  </si>
  <si>
    <t xml:space="preserve">計算式：実質貢献利益率 ＝ 1 − 仕入原価率 − 広告費率 − 販売手数料率</t>
  </si>
  <si>
    <t xml:space="preserve">　− 出荷手数料/売価 − 送料/売価 − 関税率 − 決済率 − 返品率</t>
  </si>
  <si>
    <t xml:space="preserve">　＋ 仕入原価率 × 消費税率（＝輸出免税による還付）</t>
  </si>
  <si>
    <t xml:space="preserve">現状の前提（原価率33.3% / 広告12%）は表の中央付近にあります。</t>
  </si>
  <si>
    <t xml:space="preserve">赤い領域に落ちる商材は、いくら売っても利益が残りません。</t>
  </si>
  <si>
    <t xml:space="preserve">【為替感応度】</t>
  </si>
  <si>
    <t xml:space="preserve">為替 (JPY/USD)</t>
  </si>
  <si>
    <t xml:space="preserve">円高（左）に振れると利益が消えます。円高でも12%を割らない原価率の商材を選ぶことが唯一の防御です。</t>
  </si>
  <si>
    <t xml:space="preserve">販売台帳（出荷1件ごとに記録）</t>
  </si>
  <si>
    <t xml:space="preserve">この台帳が消費税還付の根拠になります。「輸出証憑リンク」の列を絶対に空にしないでください。</t>
  </si>
  <si>
    <t xml:space="preserve">下の行は記入例です。実際に使うときは書き換えるか削除してください。</t>
  </si>
  <si>
    <t xml:space="preserve">注文ID</t>
  </si>
  <si>
    <t xml:space="preserve">販売日</t>
  </si>
  <si>
    <t xml:space="preserve">チャネル</t>
  </si>
  <si>
    <t xml:space="preserve">SKU</t>
  </si>
  <si>
    <t xml:space="preserve">品名</t>
  </si>
  <si>
    <t xml:space="preserve">売価(USD)</t>
  </si>
  <si>
    <t xml:space="preserve">為替</t>
  </si>
  <si>
    <t xml:space="preserve">売上(JPY)</t>
  </si>
  <si>
    <t xml:space="preserve">仕入原価(JPY)</t>
  </si>
  <si>
    <t xml:space="preserve">販売手数料(JPY)</t>
  </si>
  <si>
    <t xml:space="preserve">広告費(JPY)</t>
  </si>
  <si>
    <t xml:space="preserve">送料(JPY)</t>
  </si>
  <si>
    <t xml:space="preserve">関税(JPY)</t>
  </si>
  <si>
    <t xml:space="preserve">返品有無</t>
  </si>
  <si>
    <t xml:space="preserve">仕向国</t>
  </si>
  <si>
    <t xml:space="preserve">発送方法</t>
  </si>
  <si>
    <t xml:space="preserve">発送日</t>
  </si>
  <si>
    <t xml:space="preserve">伝票番号</t>
  </si>
  <si>
    <t xml:space="preserve">輸出証憑リンク</t>
  </si>
  <si>
    <t xml:space="preserve">消費税還付相当(JPY)</t>
  </si>
  <si>
    <t xml:space="preserve">実質貢献利益(JPY)</t>
  </si>
  <si>
    <t xml:space="preserve">貢献利益率</t>
  </si>
  <si>
    <t xml:space="preserve">ORD-2026-0001</t>
  </si>
  <si>
    <t xml:space="preserve">2026-10-05</t>
  </si>
  <si>
    <t xml:space="preserve">eBay</t>
  </si>
  <si>
    <t xml:space="preserve">CAM-0012</t>
  </si>
  <si>
    <t xml:space="preserve">Nikon F3 Body (Used, Excellent)</t>
  </si>
  <si>
    <t xml:space="preserve">無</t>
  </si>
  <si>
    <t xml:space="preserve">USA</t>
  </si>
  <si>
    <t xml:space="preserve">DHL Express</t>
  </si>
  <si>
    <t xml:space="preserve">2026-10-06</t>
  </si>
  <si>
    <t xml:space="preserve">1234567890</t>
  </si>
  <si>
    <t xml:space="preserve">drive.google.com/...ORD-2026-0001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</si>
</sst>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¥#,##0;&quot;(¥&quot;#,##0\);\-"/>
    <numFmt numFmtId="169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  <charset val="1"/>
    </font>
    <font>
      <i val="true"/>
      <sz val="9"/>
      <color rgb="FF595959"/>
      <name val="WenQuanYi Zen Hei"/>
      <family val="2"/>
      <charset val="1"/>
    </font>
    <font>
      <b val="true"/>
      <sz val="11"/>
      <color rgb="FF1F3864"/>
      <name val="WenQuanYi Zen Hei"/>
      <family val="2"/>
      <charset val="1"/>
    </font>
    <font>
      <b val="true"/>
      <sz val="10"/>
      <name val="WenQuanYi Zen Hei"/>
      <family val="2"/>
      <charset val="1"/>
    </font>
    <font>
      <sz val="10"/>
      <name val="WenQuanYi Zen Hei"/>
      <family val="2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0000FF"/>
      <name val="WenQuanYi Zen Hei"/>
      <family val="2"/>
      <charset val="1"/>
    </font>
    <font>
      <b val="true"/>
      <sz val="10"/>
      <color rgb="FF008000"/>
      <name val="WenQuanYi Zen Hei"/>
      <family val="2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WenQuanYi Zen Hei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C00000"/>
      <name val="WenQuanYi Zen Hei"/>
      <family val="2"/>
      <charset val="1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b val="true"/>
      <sz val="9"/>
      <color rgb="FFC00000"/>
      <name val="Arial"/>
      <family val="0"/>
      <charset val="1"/>
    </font>
    <font>
      <b val="true"/>
      <sz val="9"/>
      <color rgb="FFC00000"/>
      <name val="WenQuanYi Zen Hei"/>
      <family val="2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90"/>
  </cols>
  <sheetData>
    <row r="2" customFormat="false" ht="18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6" customFormat="false" ht="15" hidden="false" customHeight="true" outlineLevel="0" collapsed="false">
      <c r="B6" s="4" t="s">
        <v>2</v>
      </c>
    </row>
    <row r="7" customFormat="false" ht="15" hidden="false" customHeight="true" outlineLevel="0" collapsed="false">
      <c r="B7" s="5" t="s">
        <v>3</v>
      </c>
      <c r="C7" s="6" t="s">
        <v>4</v>
      </c>
    </row>
    <row r="8" customFormat="false" ht="15" hidden="false" customHeight="true" outlineLevel="0" collapsed="false">
      <c r="B8" s="5" t="s">
        <v>5</v>
      </c>
      <c r="C8" s="7" t="s">
        <v>6</v>
      </c>
    </row>
    <row r="9" customFormat="false" ht="15" hidden="false" customHeight="true" outlineLevel="0" collapsed="false">
      <c r="B9" s="5" t="s">
        <v>7</v>
      </c>
      <c r="C9" s="7" t="s">
        <v>8</v>
      </c>
    </row>
    <row r="10" customFormat="false" ht="15" hidden="false" customHeight="true" outlineLevel="0" collapsed="false">
      <c r="B10" s="5" t="s">
        <v>9</v>
      </c>
      <c r="C10" s="6" t="s">
        <v>10</v>
      </c>
    </row>
    <row r="11" customFormat="false" ht="15" hidden="false" customHeight="true" outlineLevel="0" collapsed="false">
      <c r="B11" s="5" t="s">
        <v>11</v>
      </c>
      <c r="C11" s="6" t="s">
        <v>12</v>
      </c>
    </row>
    <row r="13" customFormat="false" ht="15" hidden="false" customHeight="true" outlineLevel="0" collapsed="false">
      <c r="B13" s="4" t="s">
        <v>13</v>
      </c>
    </row>
    <row r="14" customFormat="false" ht="15" hidden="false" customHeight="true" outlineLevel="0" collapsed="false">
      <c r="B14" s="5" t="s">
        <v>14</v>
      </c>
      <c r="C14" s="6" t="s">
        <v>15</v>
      </c>
    </row>
    <row r="15" customFormat="false" ht="15" hidden="false" customHeight="true" outlineLevel="0" collapsed="false">
      <c r="B15" s="8" t="s">
        <v>16</v>
      </c>
      <c r="C15" s="6" t="s">
        <v>17</v>
      </c>
    </row>
    <row r="16" customFormat="false" ht="15" hidden="false" customHeight="true" outlineLevel="0" collapsed="false">
      <c r="B16" s="5" t="s">
        <v>18</v>
      </c>
      <c r="C16" s="6" t="s">
        <v>19</v>
      </c>
    </row>
    <row r="17" customFormat="false" ht="15" hidden="false" customHeight="true" outlineLevel="0" collapsed="false">
      <c r="B17" s="9" t="s">
        <v>20</v>
      </c>
      <c r="C17" s="6" t="s">
        <v>21</v>
      </c>
    </row>
    <row r="18" customFormat="false" ht="15" hidden="false" customHeight="true" outlineLevel="0" collapsed="false">
      <c r="B18" s="10"/>
    </row>
    <row r="19" customFormat="false" ht="15" hidden="false" customHeight="true" outlineLevel="0" collapsed="false">
      <c r="B19" s="4" t="s">
        <v>22</v>
      </c>
    </row>
    <row r="20" customFormat="false" ht="15" hidden="false" customHeight="true" outlineLevel="0" collapsed="false">
      <c r="B20" s="5" t="s">
        <v>23</v>
      </c>
      <c r="C20" s="6" t="s">
        <v>24</v>
      </c>
    </row>
    <row r="21" customFormat="false" ht="15" hidden="false" customHeight="true" outlineLevel="0" collapsed="false">
      <c r="B21" s="5" t="s">
        <v>25</v>
      </c>
      <c r="C21" s="6" t="s">
        <v>26</v>
      </c>
    </row>
    <row r="22" customFormat="false" ht="15" hidden="false" customHeight="true" outlineLevel="0" collapsed="false">
      <c r="B22" s="5" t="s">
        <v>27</v>
      </c>
      <c r="C22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62"/>
  </cols>
  <sheetData>
    <row r="1" customFormat="false" ht="17.25" hidden="false" customHeight="true" outlineLevel="0" collapsed="false">
      <c r="A1" s="2" t="s">
        <v>29</v>
      </c>
    </row>
    <row r="2" customFormat="false" ht="15" hidden="false" customHeight="true" outlineLevel="0" collapsed="false">
      <c r="A2" s="3" t="s">
        <v>30</v>
      </c>
    </row>
    <row r="4" customFormat="false" ht="15" hidden="false" customHeight="true" outlineLevel="0" collapsed="false">
      <c r="A4" s="11" t="s">
        <v>31</v>
      </c>
      <c r="B4" s="12"/>
      <c r="C4" s="12"/>
    </row>
    <row r="5" customFormat="false" ht="15" hidden="false" customHeight="true" outlineLevel="0" collapsed="false">
      <c r="A5" s="13" t="s">
        <v>32</v>
      </c>
      <c r="B5" s="14" t="n">
        <v>150</v>
      </c>
      <c r="C5" s="3" t="s">
        <v>33</v>
      </c>
    </row>
    <row r="6" customFormat="false" ht="15" hidden="false" customHeight="true" outlineLevel="0" collapsed="false">
      <c r="A6" s="13" t="s">
        <v>34</v>
      </c>
      <c r="B6" s="15" t="n">
        <v>0.1</v>
      </c>
      <c r="C6" s="3" t="s">
        <v>35</v>
      </c>
    </row>
    <row r="8" customFormat="false" ht="15" hidden="false" customHeight="true" outlineLevel="0" collapsed="false">
      <c r="A8" s="11" t="s">
        <v>36</v>
      </c>
      <c r="B8" s="12"/>
      <c r="C8" s="12"/>
    </row>
    <row r="9" customFormat="false" ht="15" hidden="false" customHeight="true" outlineLevel="0" collapsed="false">
      <c r="A9" s="13" t="s">
        <v>37</v>
      </c>
      <c r="B9" s="16" t="n">
        <v>120</v>
      </c>
      <c r="C9" s="17" t="s">
        <v>38</v>
      </c>
    </row>
    <row r="10" customFormat="false" ht="15" hidden="false" customHeight="true" outlineLevel="0" collapsed="false">
      <c r="A10" s="13" t="s">
        <v>39</v>
      </c>
      <c r="B10" s="18" t="n">
        <v>6000</v>
      </c>
      <c r="C10" s="3" t="s">
        <v>40</v>
      </c>
    </row>
    <row r="11" customFormat="false" ht="15" hidden="false" customHeight="true" outlineLevel="0" collapsed="false">
      <c r="A11" s="13" t="s">
        <v>41</v>
      </c>
      <c r="B11" s="15" t="n">
        <v>0.15</v>
      </c>
      <c r="C11" s="17" t="s">
        <v>42</v>
      </c>
    </row>
    <row r="12" customFormat="false" ht="15" hidden="false" customHeight="true" outlineLevel="0" collapsed="false">
      <c r="A12" s="13" t="s">
        <v>43</v>
      </c>
      <c r="B12" s="19" t="n">
        <v>6.5</v>
      </c>
      <c r="C12" s="17" t="s">
        <v>44</v>
      </c>
    </row>
    <row r="13" customFormat="false" ht="15" hidden="false" customHeight="true" outlineLevel="0" collapsed="false">
      <c r="A13" s="13" t="s">
        <v>45</v>
      </c>
      <c r="B13" s="20" t="n">
        <v>0.12</v>
      </c>
      <c r="C13" s="3" t="s">
        <v>46</v>
      </c>
    </row>
    <row r="14" customFormat="false" ht="15" hidden="false" customHeight="true" outlineLevel="0" collapsed="false">
      <c r="A14" s="13" t="s">
        <v>47</v>
      </c>
      <c r="B14" s="19" t="n">
        <v>9</v>
      </c>
      <c r="C14" s="3" t="s">
        <v>48</v>
      </c>
    </row>
    <row r="15" customFormat="false" ht="15" hidden="false" customHeight="true" outlineLevel="0" collapsed="false">
      <c r="A15" s="13" t="s">
        <v>49</v>
      </c>
      <c r="B15" s="20" t="n">
        <v>0.1</v>
      </c>
      <c r="C15" s="17" t="s">
        <v>50</v>
      </c>
    </row>
    <row r="16" customFormat="false" ht="15" hidden="false" customHeight="true" outlineLevel="0" collapsed="false">
      <c r="A16" s="13" t="s">
        <v>51</v>
      </c>
      <c r="B16" s="15" t="n">
        <v>0.015</v>
      </c>
      <c r="C16" s="3" t="s">
        <v>52</v>
      </c>
    </row>
    <row r="17" customFormat="false" ht="15" hidden="false" customHeight="true" outlineLevel="0" collapsed="false">
      <c r="A17" s="13" t="s">
        <v>53</v>
      </c>
      <c r="B17" s="15" t="n">
        <v>0.04</v>
      </c>
      <c r="C17" s="3" t="s">
        <v>54</v>
      </c>
    </row>
    <row r="19" customFormat="false" ht="15" hidden="false" customHeight="true" outlineLevel="0" collapsed="false">
      <c r="A19" s="11" t="s">
        <v>55</v>
      </c>
      <c r="B19" s="12"/>
      <c r="C19" s="12"/>
    </row>
    <row r="20" customFormat="false" ht="15" hidden="false" customHeight="true" outlineLevel="0" collapsed="false">
      <c r="A20" s="13" t="s">
        <v>56</v>
      </c>
      <c r="B20" s="21" t="n">
        <v>300000</v>
      </c>
      <c r="C20" s="3"/>
    </row>
    <row r="21" customFormat="false" ht="15" hidden="false" customHeight="true" outlineLevel="0" collapsed="false">
      <c r="A21" s="13" t="s">
        <v>57</v>
      </c>
      <c r="B21" s="21" t="n">
        <v>50000</v>
      </c>
      <c r="C21" s="3" t="s">
        <v>58</v>
      </c>
    </row>
    <row r="22" customFormat="false" ht="15" hidden="false" customHeight="true" outlineLevel="0" collapsed="false">
      <c r="A22" s="13" t="s">
        <v>59</v>
      </c>
      <c r="B22" s="21" t="n">
        <v>30000</v>
      </c>
      <c r="C22" s="3" t="s">
        <v>60</v>
      </c>
    </row>
    <row r="23" customFormat="false" ht="15" hidden="false" customHeight="true" outlineLevel="0" collapsed="false">
      <c r="A23" s="13" t="s">
        <v>61</v>
      </c>
      <c r="B23" s="21" t="n">
        <v>20000</v>
      </c>
      <c r="C23" s="3"/>
    </row>
    <row r="24" customFormat="false" ht="15" hidden="false" customHeight="true" outlineLevel="0" collapsed="false">
      <c r="A24" s="13" t="s">
        <v>62</v>
      </c>
      <c r="B24" s="21" t="n">
        <v>25000</v>
      </c>
      <c r="C24" s="3" t="s">
        <v>63</v>
      </c>
    </row>
    <row r="25" customFormat="false" ht="15" hidden="false" customHeight="true" outlineLevel="0" collapsed="false">
      <c r="A25" s="5" t="s">
        <v>64</v>
      </c>
      <c r="B25" s="22" t="n">
        <f aca="false">SUM(B20:B24)</f>
        <v>425000</v>
      </c>
    </row>
    <row r="27" customFormat="false" ht="15" hidden="false" customHeight="true" outlineLevel="0" collapsed="false">
      <c r="A27" s="11" t="s">
        <v>65</v>
      </c>
      <c r="B27" s="12"/>
      <c r="C27" s="12"/>
    </row>
    <row r="28" customFormat="false" ht="15" hidden="false" customHeight="true" outlineLevel="0" collapsed="false">
      <c r="A28" s="13" t="s">
        <v>66</v>
      </c>
      <c r="B28" s="21" t="n">
        <v>60000</v>
      </c>
      <c r="C28" s="3" t="s">
        <v>67</v>
      </c>
    </row>
    <row r="29" customFormat="false" ht="15" hidden="false" customHeight="true" outlineLevel="0" collapsed="false">
      <c r="A29" s="13" t="s">
        <v>68</v>
      </c>
      <c r="B29" s="21" t="n">
        <v>20000</v>
      </c>
      <c r="C29" s="3" t="s">
        <v>69</v>
      </c>
    </row>
    <row r="30" customFormat="false" ht="15" hidden="false" customHeight="true" outlineLevel="0" collapsed="false">
      <c r="A30" s="13" t="s">
        <v>70</v>
      </c>
      <c r="B30" s="21" t="n">
        <v>20000</v>
      </c>
      <c r="C30" s="3"/>
    </row>
    <row r="31" customFormat="false" ht="15" hidden="false" customHeight="true" outlineLevel="0" collapsed="false">
      <c r="A31" s="13" t="s">
        <v>71</v>
      </c>
      <c r="B31" s="18" t="n">
        <v>2000000</v>
      </c>
      <c r="C31" s="17" t="s">
        <v>72</v>
      </c>
    </row>
    <row r="32" customFormat="false" ht="15" hidden="false" customHeight="true" outlineLevel="0" collapsed="false">
      <c r="A32" s="13" t="s">
        <v>73</v>
      </c>
      <c r="B32" s="21" t="n">
        <v>300000</v>
      </c>
      <c r="C32" s="3"/>
    </row>
    <row r="33" customFormat="false" ht="15" hidden="false" customHeight="true" outlineLevel="0" collapsed="false">
      <c r="A33" s="13" t="s">
        <v>74</v>
      </c>
      <c r="B33" s="21" t="n">
        <v>50000</v>
      </c>
      <c r="C33" s="3"/>
    </row>
    <row r="34" customFormat="false" ht="15" hidden="false" customHeight="true" outlineLevel="0" collapsed="false">
      <c r="A34" s="13" t="s">
        <v>75</v>
      </c>
      <c r="B34" s="21" t="n">
        <v>50000</v>
      </c>
      <c r="C34" s="3"/>
    </row>
    <row r="35" customFormat="false" ht="15" hidden="false" customHeight="true" outlineLevel="0" collapsed="false">
      <c r="A35" s="13" t="s">
        <v>76</v>
      </c>
      <c r="B35" s="21" t="n">
        <v>1500000</v>
      </c>
      <c r="C35" s="3" t="s">
        <v>77</v>
      </c>
    </row>
    <row r="36" customFormat="false" ht="15" hidden="false" customHeight="true" outlineLevel="0" collapsed="false">
      <c r="A36" s="5" t="s">
        <v>78</v>
      </c>
      <c r="B36" s="22" t="n">
        <f aca="false">SUM(B28:B35)</f>
        <v>4000000</v>
      </c>
    </row>
    <row r="38" customFormat="false" ht="15" hidden="false" customHeight="true" outlineLevel="0" collapsed="false">
      <c r="A38" s="11" t="s">
        <v>79</v>
      </c>
      <c r="B38" s="12"/>
      <c r="C38" s="12"/>
    </row>
    <row r="39" customFormat="false" ht="15" hidden="false" customHeight="true" outlineLevel="0" collapsed="false">
      <c r="A39" s="13" t="s">
        <v>80</v>
      </c>
      <c r="B39" s="21" t="n">
        <v>4000000</v>
      </c>
      <c r="C39" s="3" t="s">
        <v>81</v>
      </c>
    </row>
    <row r="40" customFormat="false" ht="15" hidden="false" customHeight="true" outlineLevel="0" collapsed="false">
      <c r="A40" s="5" t="s">
        <v>82</v>
      </c>
      <c r="B40" s="23" t="n">
        <f aca="false">B39-B36</f>
        <v>0</v>
      </c>
      <c r="C40" s="3" t="s">
        <v>83</v>
      </c>
    </row>
    <row r="42" customFormat="false" ht="15" hidden="false" customHeight="true" outlineLevel="0" collapsed="false">
      <c r="A42" s="11" t="s">
        <v>84</v>
      </c>
      <c r="B42" s="12"/>
      <c r="C42" s="12"/>
    </row>
    <row r="43" customFormat="false" ht="15" hidden="false" customHeight="true" outlineLevel="0" collapsed="false">
      <c r="A43" s="13" t="s">
        <v>85</v>
      </c>
      <c r="B43" s="24" t="n">
        <v>60</v>
      </c>
      <c r="C43" s="3" t="s">
        <v>86</v>
      </c>
    </row>
    <row r="44" customFormat="false" ht="15" hidden="false" customHeight="true" outlineLevel="0" collapsed="false">
      <c r="A44" s="13" t="s">
        <v>87</v>
      </c>
      <c r="B44" s="24" t="n">
        <v>14</v>
      </c>
      <c r="C44" s="17" t="s">
        <v>88</v>
      </c>
    </row>
    <row r="45" customFormat="false" ht="15" hidden="false" customHeight="true" outlineLevel="0" collapsed="false">
      <c r="A45" s="13" t="s">
        <v>89</v>
      </c>
      <c r="B45" s="24" t="n">
        <v>0</v>
      </c>
      <c r="C45" s="3" t="s">
        <v>90</v>
      </c>
    </row>
    <row r="46" customFormat="false" ht="15" hidden="false" customHeight="true" outlineLevel="0" collapsed="false">
      <c r="A46" s="5" t="s">
        <v>91</v>
      </c>
      <c r="B46" s="25" t="n">
        <f aca="false">B43+B44-B45</f>
        <v>74</v>
      </c>
      <c r="C46" s="17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5"/>
    <col collapsed="false" customWidth="true" hidden="false" outlineLevel="0" max="5" min="5" style="1" width="56"/>
  </cols>
  <sheetData>
    <row r="1" customFormat="false" ht="18.75" hidden="false" customHeight="true" outlineLevel="0" collapsed="false">
      <c r="A1" s="2" t="s">
        <v>93</v>
      </c>
    </row>
    <row r="2" customFormat="false" ht="15" hidden="false" customHeight="true" outlineLevel="0" collapsed="false">
      <c r="A2" s="3" t="s">
        <v>94</v>
      </c>
    </row>
    <row r="4" customFormat="false" ht="15" hidden="false" customHeight="true" outlineLevel="0" collapsed="false">
      <c r="A4" s="26" t="s">
        <v>95</v>
      </c>
      <c r="B4" s="27" t="s">
        <v>96</v>
      </c>
      <c r="C4" s="27" t="s">
        <v>97</v>
      </c>
      <c r="D4" s="26" t="s">
        <v>98</v>
      </c>
      <c r="E4" s="26" t="s">
        <v>99</v>
      </c>
    </row>
    <row r="5" customFormat="false" ht="15" hidden="false" customHeight="true" outlineLevel="0" collapsed="false">
      <c r="A5" s="13" t="s">
        <v>100</v>
      </c>
      <c r="B5" s="28" t="n">
        <f aca="false">前提!$B$9</f>
        <v>120</v>
      </c>
      <c r="C5" s="29" t="n">
        <f aca="false">B5*前提!$B$5</f>
        <v>18000</v>
      </c>
      <c r="D5" s="30" t="n">
        <f aca="false">B5/$B$5</f>
        <v>1</v>
      </c>
      <c r="E5" s="17" t="s">
        <v>101</v>
      </c>
    </row>
    <row r="6" customFormat="false" ht="15" hidden="false" customHeight="true" outlineLevel="0" collapsed="false">
      <c r="A6" s="13" t="s">
        <v>102</v>
      </c>
      <c r="B6" s="28" t="n">
        <f aca="false">-前提!$B$10/前提!$B$5</f>
        <v>-40</v>
      </c>
      <c r="C6" s="29" t="n">
        <f aca="false">B6*前提!$B$5</f>
        <v>-6000</v>
      </c>
      <c r="D6" s="30" t="n">
        <f aca="false">B6/$B$5</f>
        <v>-0.333333333333333</v>
      </c>
      <c r="E6" s="3" t="s">
        <v>103</v>
      </c>
    </row>
    <row r="7" customFormat="false" ht="15" hidden="false" customHeight="true" outlineLevel="0" collapsed="false">
      <c r="A7" s="13" t="s">
        <v>104</v>
      </c>
      <c r="B7" s="28" t="n">
        <f aca="false">-$B$5*前提!$B$11</f>
        <v>-18</v>
      </c>
      <c r="C7" s="29" t="n">
        <f aca="false">B7*前提!$B$5</f>
        <v>-2700</v>
      </c>
      <c r="D7" s="30" t="n">
        <f aca="false">B7/$B$5</f>
        <v>-0.15</v>
      </c>
      <c r="E7" s="17" t="s">
        <v>42</v>
      </c>
    </row>
    <row r="8" customFormat="false" ht="15" hidden="false" customHeight="true" outlineLevel="0" collapsed="false">
      <c r="A8" s="13" t="s">
        <v>105</v>
      </c>
      <c r="B8" s="28" t="n">
        <f aca="false">-前提!$B$12</f>
        <v>-6.5</v>
      </c>
      <c r="C8" s="29" t="n">
        <f aca="false">B8*前提!$B$5</f>
        <v>-975</v>
      </c>
      <c r="D8" s="30" t="n">
        <f aca="false">B8/$B$5</f>
        <v>-0.0541666666666667</v>
      </c>
      <c r="E8" s="17" t="s">
        <v>106</v>
      </c>
    </row>
    <row r="9" customFormat="false" ht="15" hidden="false" customHeight="true" outlineLevel="0" collapsed="false">
      <c r="A9" s="13" t="s">
        <v>107</v>
      </c>
      <c r="B9" s="28" t="n">
        <f aca="false">-$B$5*前提!$B$13</f>
        <v>-14.4</v>
      </c>
      <c r="C9" s="29" t="n">
        <f aca="false">B9*前提!$B$5</f>
        <v>-2160</v>
      </c>
      <c r="D9" s="30" t="n">
        <f aca="false">B9/$B$5</f>
        <v>-0.12</v>
      </c>
      <c r="E9" s="17" t="s">
        <v>108</v>
      </c>
    </row>
    <row r="10" customFormat="false" ht="15" hidden="false" customHeight="true" outlineLevel="0" collapsed="false">
      <c r="A10" s="13" t="s">
        <v>109</v>
      </c>
      <c r="B10" s="28" t="n">
        <f aca="false">-前提!$B$14</f>
        <v>-9</v>
      </c>
      <c r="C10" s="29" t="n">
        <f aca="false">B10*前提!$B$5</f>
        <v>-1350</v>
      </c>
      <c r="D10" s="30" t="n">
        <f aca="false">B10/$B$5</f>
        <v>-0.075</v>
      </c>
      <c r="E10" s="3" t="s">
        <v>48</v>
      </c>
    </row>
    <row r="11" customFormat="false" ht="15" hidden="false" customHeight="true" outlineLevel="0" collapsed="false">
      <c r="A11" s="13" t="s">
        <v>110</v>
      </c>
      <c r="B11" s="28" t="n">
        <f aca="false">-$B$5*前提!$B$15</f>
        <v>-12</v>
      </c>
      <c r="C11" s="29" t="n">
        <f aca="false">B11*前提!$B$5</f>
        <v>-1800</v>
      </c>
      <c r="D11" s="30" t="n">
        <f aca="false">B11/$B$5</f>
        <v>-0.1</v>
      </c>
      <c r="E11" s="17" t="s">
        <v>111</v>
      </c>
    </row>
    <row r="12" customFormat="false" ht="15" hidden="false" customHeight="true" outlineLevel="0" collapsed="false">
      <c r="A12" s="13" t="s">
        <v>112</v>
      </c>
      <c r="B12" s="28" t="n">
        <f aca="false">-$B$5*前提!$B$16</f>
        <v>-1.8</v>
      </c>
      <c r="C12" s="29" t="n">
        <f aca="false">B12*前提!$B$5</f>
        <v>-270</v>
      </c>
      <c r="D12" s="30" t="n">
        <f aca="false">B12/$B$5</f>
        <v>-0.015</v>
      </c>
      <c r="E12" s="3" t="s">
        <v>52</v>
      </c>
    </row>
    <row r="13" customFormat="false" ht="15" hidden="false" customHeight="true" outlineLevel="0" collapsed="false">
      <c r="A13" s="13" t="s">
        <v>113</v>
      </c>
      <c r="B13" s="28" t="n">
        <f aca="false">-$B$5*前提!$B$17</f>
        <v>-4.8</v>
      </c>
      <c r="C13" s="29" t="n">
        <f aca="false">B13*前提!$B$5</f>
        <v>-720</v>
      </c>
      <c r="D13" s="30" t="n">
        <f aca="false">B13/$B$5</f>
        <v>-0.04</v>
      </c>
      <c r="E13" s="3" t="s">
        <v>54</v>
      </c>
    </row>
    <row r="14" customFormat="false" ht="15" hidden="false" customHeight="true" outlineLevel="0" collapsed="false">
      <c r="A14" s="5" t="s">
        <v>114</v>
      </c>
      <c r="B14" s="31" t="n">
        <f aca="false">SUM(B5:B13)</f>
        <v>13.5</v>
      </c>
      <c r="C14" s="22" t="n">
        <f aca="false">B14*前提!$B$5</f>
        <v>2025</v>
      </c>
      <c r="D14" s="32" t="n">
        <f aca="false">B14/$B$5</f>
        <v>0.1125</v>
      </c>
      <c r="E14" s="3" t="s">
        <v>115</v>
      </c>
    </row>
    <row r="15" customFormat="false" ht="15" hidden="false" customHeight="true" outlineLevel="0" collapsed="false">
      <c r="A15" s="13" t="s">
        <v>116</v>
      </c>
      <c r="B15" s="28" t="n">
        <f aca="false">前提!$B$10*前提!$B$6/前提!$B$5</f>
        <v>4</v>
      </c>
      <c r="C15" s="29" t="n">
        <f aca="false">B15*前提!$B$5</f>
        <v>600</v>
      </c>
      <c r="D15" s="30" t="n">
        <f aca="false">B15/$B$5</f>
        <v>0.0333333333333333</v>
      </c>
      <c r="E15" s="3" t="s">
        <v>117</v>
      </c>
    </row>
    <row r="16" customFormat="false" ht="15" hidden="false" customHeight="true" outlineLevel="0" collapsed="false">
      <c r="A16" s="5" t="s">
        <v>118</v>
      </c>
      <c r="B16" s="33" t="n">
        <f aca="false">B14+B15</f>
        <v>17.5</v>
      </c>
      <c r="C16" s="34" t="n">
        <f aca="false">B16*前提!$B$5</f>
        <v>2625</v>
      </c>
      <c r="D16" s="35" t="n">
        <f aca="false">B16/$B$5</f>
        <v>0.145833333333333</v>
      </c>
      <c r="E16" s="36" t="s">
        <v>119</v>
      </c>
    </row>
    <row r="18" customFormat="false" ht="15" hidden="false" customHeight="true" outlineLevel="0" collapsed="false">
      <c r="A18" s="4" t="s">
        <v>120</v>
      </c>
    </row>
    <row r="19" customFormat="false" ht="15" hidden="false" customHeight="true" outlineLevel="0" collapsed="false">
      <c r="A19" s="13" t="s">
        <v>121</v>
      </c>
      <c r="B19" s="30" t="n">
        <f aca="false">B16/$B$5</f>
        <v>0.145833333333333</v>
      </c>
      <c r="C19" s="5" t="str">
        <f aca="false">IF(B19&gt;=0.18,"◎ 目標水準（18%以上）",IF(B19&gt;=0.12,"○ 成立ライン（12%以上）","✕ 成立しない（12%未満）"))</f>
        <v>○ 成立ライン（12%以上）</v>
      </c>
    </row>
    <row r="20" customFormat="false" ht="15" hidden="false" customHeight="true" outlineLevel="0" collapsed="false">
      <c r="A20" s="13" t="s">
        <v>122</v>
      </c>
      <c r="B20" s="30" t="n">
        <f aca="false">-B6/$B$5</f>
        <v>0.333333333333333</v>
      </c>
      <c r="C20" s="5" t="str">
        <f aca="false">IF(B20&lt;=0.33,"◎ 良好",IF(B20&lt;=0.38,"○ 許容範囲","✕ 高すぎる"))</f>
        <v>○ 許容範囲</v>
      </c>
    </row>
    <row r="21" customFormat="false" ht="15" hidden="false" customHeight="true" outlineLevel="0" collapsed="false">
      <c r="A21" s="13" t="s">
        <v>123</v>
      </c>
      <c r="B21" s="37" t="n">
        <f aca="false">B16</f>
        <v>17.5</v>
      </c>
      <c r="C21" s="5" t="str">
        <f aca="false">IF(B21&gt;=25,"◎ 良好",IF(B21&gt;=12,"○ 工数を回収できる","✕ 1件あたりの手間に見合わない"))</f>
        <v>○ 工数を回収できる</v>
      </c>
    </row>
    <row r="23" customFormat="false" ht="15" hidden="false" customHeight="true" outlineLevel="0" collapsed="false">
      <c r="A23" s="4" t="s">
        <v>124</v>
      </c>
    </row>
    <row r="24" customFormat="false" ht="15" hidden="false" customHeight="true" outlineLevel="0" collapsed="false">
      <c r="A24" s="13" t="s">
        <v>125</v>
      </c>
      <c r="B24" s="38" t="n">
        <f aca="false">前提!$B$25</f>
        <v>425000</v>
      </c>
    </row>
    <row r="25" customFormat="false" ht="15" hidden="false" customHeight="true" outlineLevel="0" collapsed="false">
      <c r="A25" s="5" t="s">
        <v>126</v>
      </c>
      <c r="B25" s="22" t="n">
        <f aca="false">IF(B19&lt;=0,"—",B24/B19)</f>
        <v>2914285.71428571</v>
      </c>
    </row>
    <row r="26" customFormat="false" ht="15" hidden="false" customHeight="true" outlineLevel="0" collapsed="false">
      <c r="A26" s="5" t="s">
        <v>127</v>
      </c>
      <c r="B26" s="25" t="n">
        <f aca="false">IF(OR(B19&lt;=0,C5=0),"—",B25/C5)</f>
        <v>161.904761904762</v>
      </c>
      <c r="E26" s="17" t="s">
        <v>128</v>
      </c>
    </row>
    <row r="27" customFormat="false" ht="15" hidden="false" customHeight="true" outlineLevel="0" collapsed="false">
      <c r="A27" s="13" t="s">
        <v>129</v>
      </c>
      <c r="B27" s="39" t="n">
        <f aca="false">IF(B26="—","—",B26/22)</f>
        <v>7.35930735930736</v>
      </c>
      <c r="E27" s="3" t="s">
        <v>130</v>
      </c>
    </row>
    <row r="29" customFormat="false" ht="15" hidden="false" customHeight="true" outlineLevel="0" collapsed="false">
      <c r="A29" s="4" t="s">
        <v>131</v>
      </c>
    </row>
    <row r="30" customFormat="false" ht="15" hidden="false" customHeight="true" outlineLevel="0" collapsed="false">
      <c r="A30" s="13" t="s">
        <v>132</v>
      </c>
      <c r="B30" s="21" t="n">
        <v>5500000</v>
      </c>
      <c r="E30" s="3" t="s">
        <v>133</v>
      </c>
    </row>
    <row r="31" customFormat="false" ht="15" hidden="false" customHeight="true" outlineLevel="0" collapsed="false">
      <c r="A31" s="5" t="s">
        <v>134</v>
      </c>
      <c r="B31" s="22" t="n">
        <f aca="false">B30*(前提!$B$46/30)*B20</f>
        <v>4522222.22222222</v>
      </c>
      <c r="E31" s="3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8" min="2" style="1" width="16"/>
    <col collapsed="false" customWidth="true" hidden="false" outlineLevel="0" max="9" min="9" style="1" width="30"/>
  </cols>
  <sheetData>
    <row r="1" customFormat="false" ht="18.75" hidden="false" customHeight="true" outlineLevel="0" collapsed="false">
      <c r="A1" s="40" t="s">
        <v>136</v>
      </c>
    </row>
    <row r="2" customFormat="false" ht="15" hidden="false" customHeight="true" outlineLevel="0" collapsed="false">
      <c r="A2" s="3" t="s">
        <v>137</v>
      </c>
    </row>
    <row r="4" customFormat="false" ht="15" hidden="false" customHeight="true" outlineLevel="0" collapsed="false">
      <c r="A4" s="41" t="s">
        <v>138</v>
      </c>
      <c r="B4" s="41" t="s">
        <v>139</v>
      </c>
      <c r="C4" s="41" t="s">
        <v>121</v>
      </c>
      <c r="D4" s="41" t="s">
        <v>140</v>
      </c>
      <c r="E4" s="41" t="s">
        <v>141</v>
      </c>
      <c r="F4" s="41" t="s">
        <v>142</v>
      </c>
      <c r="G4" s="41" t="s">
        <v>143</v>
      </c>
      <c r="H4" s="41" t="s">
        <v>144</v>
      </c>
      <c r="I4" s="41" t="s">
        <v>99</v>
      </c>
    </row>
    <row r="5" customFormat="false" ht="15" hidden="false" customHeight="true" outlineLevel="0" collapsed="false">
      <c r="A5" s="42" t="s">
        <v>145</v>
      </c>
      <c r="B5" s="21" t="n">
        <v>0</v>
      </c>
      <c r="C5" s="15" t="n">
        <v>0</v>
      </c>
      <c r="D5" s="29" t="n">
        <f aca="false">B5*C5</f>
        <v>0</v>
      </c>
      <c r="E5" s="21" t="n">
        <v>425000</v>
      </c>
      <c r="F5" s="29" t="n">
        <f aca="false">D5-E5</f>
        <v>-425000</v>
      </c>
      <c r="G5" s="29" t="n">
        <f aca="false">F5</f>
        <v>-425000</v>
      </c>
      <c r="H5" s="43" t="n">
        <f aca="false">IF(単位経済性!$C$5=0,0,B5/単位経済性!$C$5)</f>
        <v>0</v>
      </c>
      <c r="I5" s="3" t="s">
        <v>146</v>
      </c>
    </row>
    <row r="6" customFormat="false" ht="15" hidden="false" customHeight="true" outlineLevel="0" collapsed="false">
      <c r="A6" s="42" t="s">
        <v>147</v>
      </c>
      <c r="B6" s="21" t="n">
        <v>300000</v>
      </c>
      <c r="C6" s="15" t="n">
        <v>0.08</v>
      </c>
      <c r="D6" s="29" t="n">
        <f aca="false">B6*C6</f>
        <v>24000</v>
      </c>
      <c r="E6" s="21" t="n">
        <v>425000</v>
      </c>
      <c r="F6" s="29" t="n">
        <f aca="false">D6-E6</f>
        <v>-401000</v>
      </c>
      <c r="G6" s="29" t="n">
        <f aca="false">G5+F6</f>
        <v>-826000</v>
      </c>
      <c r="H6" s="43" t="n">
        <f aca="false">IF(単位経済性!$C$5=0,0,B6/単位経済性!$C$5)</f>
        <v>16.6666666666667</v>
      </c>
      <c r="I6" s="3" t="s">
        <v>148</v>
      </c>
    </row>
    <row r="7" customFormat="false" ht="15" hidden="false" customHeight="true" outlineLevel="0" collapsed="false">
      <c r="A7" s="42" t="s">
        <v>149</v>
      </c>
      <c r="B7" s="21" t="n">
        <v>600000</v>
      </c>
      <c r="C7" s="15" t="n">
        <v>0.1</v>
      </c>
      <c r="D7" s="29" t="n">
        <f aca="false">B7*C7</f>
        <v>60000</v>
      </c>
      <c r="E7" s="21" t="n">
        <v>425000</v>
      </c>
      <c r="F7" s="29" t="n">
        <f aca="false">D7-E7</f>
        <v>-365000</v>
      </c>
      <c r="G7" s="29" t="n">
        <f aca="false">G6+F7</f>
        <v>-1191000</v>
      </c>
      <c r="H7" s="43" t="n">
        <f aca="false">IF(単位経済性!$C$5=0,0,B7/単位経済性!$C$5)</f>
        <v>33.3333333333333</v>
      </c>
    </row>
    <row r="8" customFormat="false" ht="15" hidden="false" customHeight="true" outlineLevel="0" collapsed="false">
      <c r="A8" s="42" t="s">
        <v>150</v>
      </c>
      <c r="B8" s="21" t="n">
        <v>1000000</v>
      </c>
      <c r="C8" s="15" t="n">
        <v>0.12</v>
      </c>
      <c r="D8" s="29" t="n">
        <f aca="false">B8*C8</f>
        <v>120000</v>
      </c>
      <c r="E8" s="21" t="n">
        <v>425000</v>
      </c>
      <c r="F8" s="29" t="n">
        <f aca="false">D8-E8</f>
        <v>-305000</v>
      </c>
      <c r="G8" s="29" t="n">
        <f aca="false">G7+F8</f>
        <v>-1496000</v>
      </c>
      <c r="H8" s="43" t="n">
        <f aca="false">IF(単位経済性!$C$5=0,0,B8/単位経済性!$C$5)</f>
        <v>55.5555555555556</v>
      </c>
    </row>
    <row r="9" customFormat="false" ht="15" hidden="false" customHeight="true" outlineLevel="0" collapsed="false">
      <c r="A9" s="42" t="s">
        <v>151</v>
      </c>
      <c r="B9" s="21" t="n">
        <v>1400000</v>
      </c>
      <c r="C9" s="15" t="n">
        <v>0.13</v>
      </c>
      <c r="D9" s="29" t="n">
        <f aca="false">B9*C9</f>
        <v>182000</v>
      </c>
      <c r="E9" s="21" t="n">
        <v>425000</v>
      </c>
      <c r="F9" s="29" t="n">
        <f aca="false">D9-E9</f>
        <v>-243000</v>
      </c>
      <c r="G9" s="29" t="n">
        <f aca="false">G8+F9</f>
        <v>-1739000</v>
      </c>
      <c r="H9" s="43" t="n">
        <f aca="false">IF(単位経済性!$C$5=0,0,B9/単位経済性!$C$5)</f>
        <v>77.7777777777778</v>
      </c>
    </row>
    <row r="10" customFormat="false" ht="15" hidden="false" customHeight="true" outlineLevel="0" collapsed="false">
      <c r="A10" s="42" t="s">
        <v>152</v>
      </c>
      <c r="B10" s="21" t="n">
        <v>1800000</v>
      </c>
      <c r="C10" s="15" t="n">
        <v>0.14</v>
      </c>
      <c r="D10" s="29" t="n">
        <f aca="false">B10*C10</f>
        <v>252000</v>
      </c>
      <c r="E10" s="21" t="n">
        <v>425000</v>
      </c>
      <c r="F10" s="29" t="n">
        <f aca="false">D10-E10</f>
        <v>-173000</v>
      </c>
      <c r="G10" s="29" t="n">
        <f aca="false">G9+F10</f>
        <v>-1912000</v>
      </c>
      <c r="H10" s="43" t="n">
        <f aca="false">IF(単位経済性!$C$5=0,0,B10/単位経済性!$C$5)</f>
        <v>100</v>
      </c>
      <c r="I10" s="17" t="s">
        <v>153</v>
      </c>
    </row>
    <row r="11" customFormat="false" ht="15" hidden="false" customHeight="true" outlineLevel="0" collapsed="false">
      <c r="A11" s="42" t="s">
        <v>154</v>
      </c>
      <c r="B11" s="21" t="n">
        <v>2300000</v>
      </c>
      <c r="C11" s="15" t="n">
        <v>0.15</v>
      </c>
      <c r="D11" s="29" t="n">
        <f aca="false">B11*C11</f>
        <v>345000</v>
      </c>
      <c r="E11" s="21" t="n">
        <v>425000</v>
      </c>
      <c r="F11" s="29" t="n">
        <f aca="false">D11-E11</f>
        <v>-80000</v>
      </c>
      <c r="G11" s="29" t="n">
        <f aca="false">G10+F11</f>
        <v>-1992000</v>
      </c>
      <c r="H11" s="43" t="n">
        <f aca="false">IF(単位経済性!$C$5=0,0,B11/単位経済性!$C$5)</f>
        <v>127.777777777778</v>
      </c>
    </row>
    <row r="12" customFormat="false" ht="15" hidden="false" customHeight="true" outlineLevel="0" collapsed="false">
      <c r="A12" s="42" t="s">
        <v>155</v>
      </c>
      <c r="B12" s="21" t="n">
        <v>2800000</v>
      </c>
      <c r="C12" s="15" t="n">
        <v>0.16</v>
      </c>
      <c r="D12" s="29" t="n">
        <f aca="false">B12*C12</f>
        <v>448000</v>
      </c>
      <c r="E12" s="21" t="n">
        <v>450000</v>
      </c>
      <c r="F12" s="29" t="n">
        <f aca="false">D12-E12</f>
        <v>-2000</v>
      </c>
      <c r="G12" s="29" t="n">
        <f aca="false">G11+F12</f>
        <v>-1994000</v>
      </c>
      <c r="H12" s="43" t="n">
        <f aca="false">IF(単位経済性!$C$5=0,0,B12/単位経済性!$C$5)</f>
        <v>155.555555555556</v>
      </c>
      <c r="I12" s="3" t="s">
        <v>156</v>
      </c>
    </row>
    <row r="13" customFormat="false" ht="15" hidden="false" customHeight="true" outlineLevel="0" collapsed="false">
      <c r="A13" s="42" t="s">
        <v>157</v>
      </c>
      <c r="B13" s="21" t="n">
        <v>3300000</v>
      </c>
      <c r="C13" s="15" t="n">
        <v>0.16</v>
      </c>
      <c r="D13" s="29" t="n">
        <f aca="false">B13*C13</f>
        <v>528000</v>
      </c>
      <c r="E13" s="21" t="n">
        <v>450000</v>
      </c>
      <c r="F13" s="29" t="n">
        <f aca="false">D13-E13</f>
        <v>78000</v>
      </c>
      <c r="G13" s="29" t="n">
        <f aca="false">G12+F13</f>
        <v>-1916000</v>
      </c>
      <c r="H13" s="43" t="n">
        <f aca="false">IF(単位経済性!$C$5=0,0,B13/単位経済性!$C$5)</f>
        <v>183.333333333333</v>
      </c>
    </row>
    <row r="14" customFormat="false" ht="15" hidden="false" customHeight="true" outlineLevel="0" collapsed="false">
      <c r="A14" s="42" t="s">
        <v>158</v>
      </c>
      <c r="B14" s="21" t="n">
        <v>4000000</v>
      </c>
      <c r="C14" s="15" t="n">
        <v>0.17</v>
      </c>
      <c r="D14" s="29" t="n">
        <f aca="false">B14*C14</f>
        <v>680000</v>
      </c>
      <c r="E14" s="21" t="n">
        <v>550000</v>
      </c>
      <c r="F14" s="29" t="n">
        <f aca="false">D14-E14</f>
        <v>130000</v>
      </c>
      <c r="G14" s="29" t="n">
        <f aca="false">G13+F14</f>
        <v>-1786000</v>
      </c>
      <c r="H14" s="43" t="n">
        <f aca="false">IF(単位経済性!$C$5=0,0,B14/単位経済性!$C$5)</f>
        <v>222.222222222222</v>
      </c>
    </row>
    <row r="15" customFormat="false" ht="15" hidden="false" customHeight="true" outlineLevel="0" collapsed="false">
      <c r="A15" s="42" t="s">
        <v>159</v>
      </c>
      <c r="B15" s="21" t="n">
        <v>4700000</v>
      </c>
      <c r="C15" s="15" t="n">
        <v>0.17</v>
      </c>
      <c r="D15" s="29" t="n">
        <f aca="false">B15*C15</f>
        <v>799000</v>
      </c>
      <c r="E15" s="21" t="n">
        <v>550000</v>
      </c>
      <c r="F15" s="29" t="n">
        <f aca="false">D15-E15</f>
        <v>249000</v>
      </c>
      <c r="G15" s="29" t="n">
        <f aca="false">G14+F15</f>
        <v>-1537000</v>
      </c>
      <c r="H15" s="43" t="n">
        <f aca="false">IF(単位経済性!$C$5=0,0,B15/単位経済性!$C$5)</f>
        <v>261.111111111111</v>
      </c>
    </row>
    <row r="16" customFormat="false" ht="15" hidden="false" customHeight="true" outlineLevel="0" collapsed="false">
      <c r="A16" s="42" t="s">
        <v>160</v>
      </c>
      <c r="B16" s="21" t="n">
        <v>5500000</v>
      </c>
      <c r="C16" s="15" t="n">
        <v>0.18</v>
      </c>
      <c r="D16" s="29" t="n">
        <f aca="false">B16*C16</f>
        <v>990000</v>
      </c>
      <c r="E16" s="21" t="n">
        <v>550000</v>
      </c>
      <c r="F16" s="29" t="n">
        <f aca="false">D16-E16</f>
        <v>440000</v>
      </c>
      <c r="G16" s="29" t="n">
        <f aca="false">G15+F16</f>
        <v>-1097000</v>
      </c>
      <c r="H16" s="43" t="n">
        <f aca="false">IF(単位経済性!$C$5=0,0,B16/単位経済性!$C$5)</f>
        <v>305.555555555556</v>
      </c>
      <c r="I16" s="17" t="s">
        <v>161</v>
      </c>
    </row>
    <row r="17" customFormat="false" ht="15" hidden="false" customHeight="true" outlineLevel="0" collapsed="false">
      <c r="A17" s="44" t="s">
        <v>162</v>
      </c>
      <c r="B17" s="45" t="n">
        <v>6000000</v>
      </c>
      <c r="C17" s="46" t="n">
        <v>0.18</v>
      </c>
      <c r="D17" s="47" t="n">
        <f aca="false">B17*C17</f>
        <v>1080000</v>
      </c>
      <c r="E17" s="45" t="n">
        <v>700000</v>
      </c>
      <c r="F17" s="47" t="n">
        <f aca="false">D17-E17</f>
        <v>380000</v>
      </c>
      <c r="G17" s="47" t="n">
        <f aca="false">G16+F17</f>
        <v>-717000</v>
      </c>
      <c r="H17" s="48" t="n">
        <f aca="false">IF(単位経済性!$C$5=0,0,B17/単位経済性!$C$5)</f>
        <v>333.333333333333</v>
      </c>
      <c r="I17" s="17" t="s">
        <v>163</v>
      </c>
    </row>
    <row r="18" customFormat="false" ht="15" hidden="false" customHeight="true" outlineLevel="0" collapsed="false">
      <c r="A18" s="42" t="s">
        <v>164</v>
      </c>
      <c r="B18" s="21" t="n">
        <v>7000000</v>
      </c>
      <c r="C18" s="15" t="n">
        <v>0.19</v>
      </c>
      <c r="D18" s="29" t="n">
        <f aca="false">B18*C18</f>
        <v>1330000</v>
      </c>
      <c r="E18" s="21" t="n">
        <v>700000</v>
      </c>
      <c r="F18" s="29" t="n">
        <f aca="false">D18-E18</f>
        <v>630000</v>
      </c>
      <c r="G18" s="29" t="n">
        <f aca="false">G17+F18</f>
        <v>-87000</v>
      </c>
      <c r="H18" s="43" t="n">
        <f aca="false">IF(単位経済性!$C$5=0,0,B18/単位経済性!$C$5)</f>
        <v>388.888888888889</v>
      </c>
    </row>
    <row r="19" customFormat="false" ht="15" hidden="false" customHeight="true" outlineLevel="0" collapsed="false">
      <c r="A19" s="42" t="s">
        <v>165</v>
      </c>
      <c r="B19" s="21" t="n">
        <v>8000000</v>
      </c>
      <c r="C19" s="15" t="n">
        <v>0.19</v>
      </c>
      <c r="D19" s="29" t="n">
        <f aca="false">B19*C19</f>
        <v>1520000</v>
      </c>
      <c r="E19" s="21" t="n">
        <v>700000</v>
      </c>
      <c r="F19" s="29" t="n">
        <f aca="false">D19-E19</f>
        <v>820000</v>
      </c>
      <c r="G19" s="29" t="n">
        <f aca="false">G18+F19</f>
        <v>733000</v>
      </c>
      <c r="H19" s="43" t="n">
        <f aca="false">IF(単位経済性!$C$5=0,0,B19/単位経済性!$C$5)</f>
        <v>444.444444444444</v>
      </c>
    </row>
    <row r="20" customFormat="false" ht="15" hidden="false" customHeight="true" outlineLevel="0" collapsed="false">
      <c r="A20" s="42" t="s">
        <v>166</v>
      </c>
      <c r="B20" s="21" t="n">
        <v>9000000</v>
      </c>
      <c r="C20" s="15" t="n">
        <v>0.2</v>
      </c>
      <c r="D20" s="29" t="n">
        <f aca="false">B20*C20</f>
        <v>1800000</v>
      </c>
      <c r="E20" s="21" t="n">
        <v>900000</v>
      </c>
      <c r="F20" s="29" t="n">
        <f aca="false">D20-E20</f>
        <v>900000</v>
      </c>
      <c r="G20" s="29" t="n">
        <f aca="false">G19+F20</f>
        <v>1633000</v>
      </c>
      <c r="H20" s="43" t="n">
        <f aca="false">IF(単位経済性!$C$5=0,0,B20/単位経済性!$C$5)</f>
        <v>500</v>
      </c>
    </row>
    <row r="21" customFormat="false" ht="15" hidden="false" customHeight="true" outlineLevel="0" collapsed="false">
      <c r="A21" s="42" t="s">
        <v>167</v>
      </c>
      <c r="B21" s="21" t="n">
        <v>9500000</v>
      </c>
      <c r="C21" s="15" t="n">
        <v>0.2</v>
      </c>
      <c r="D21" s="29" t="n">
        <f aca="false">B21*C21</f>
        <v>1900000</v>
      </c>
      <c r="E21" s="21" t="n">
        <v>900000</v>
      </c>
      <c r="F21" s="29" t="n">
        <f aca="false">D21-E21</f>
        <v>1000000</v>
      </c>
      <c r="G21" s="29" t="n">
        <f aca="false">G20+F21</f>
        <v>2633000</v>
      </c>
      <c r="H21" s="43" t="n">
        <f aca="false">IF(単位経済性!$C$5=0,0,B21/単位経済性!$C$5)</f>
        <v>527.777777777778</v>
      </c>
    </row>
    <row r="22" customFormat="false" ht="15" hidden="false" customHeight="true" outlineLevel="0" collapsed="false">
      <c r="A22" s="42" t="s">
        <v>168</v>
      </c>
      <c r="B22" s="21" t="n">
        <v>10000000</v>
      </c>
      <c r="C22" s="15" t="n">
        <v>0.2</v>
      </c>
      <c r="D22" s="29" t="n">
        <f aca="false">B22*C22</f>
        <v>2000000</v>
      </c>
      <c r="E22" s="21" t="n">
        <v>900000</v>
      </c>
      <c r="F22" s="29" t="n">
        <f aca="false">D22-E22</f>
        <v>1100000</v>
      </c>
      <c r="G22" s="29" t="n">
        <f aca="false">G21+F22</f>
        <v>3733000</v>
      </c>
      <c r="H22" s="43" t="n">
        <f aca="false">IF(単位経済性!$C$5=0,0,B22/単位経済性!$C$5)</f>
        <v>555.555555555556</v>
      </c>
    </row>
    <row r="23" customFormat="false" ht="15" hidden="false" customHeight="true" outlineLevel="0" collapsed="false">
      <c r="A23" s="42" t="s">
        <v>169</v>
      </c>
      <c r="B23" s="21" t="n">
        <v>10500000</v>
      </c>
      <c r="C23" s="15" t="n">
        <v>0.2</v>
      </c>
      <c r="D23" s="29" t="n">
        <f aca="false">B23*C23</f>
        <v>2100000</v>
      </c>
      <c r="E23" s="21" t="n">
        <v>1000000</v>
      </c>
      <c r="F23" s="29" t="n">
        <f aca="false">D23-E23</f>
        <v>1100000</v>
      </c>
      <c r="G23" s="29" t="n">
        <f aca="false">G22+F23</f>
        <v>4833000</v>
      </c>
      <c r="H23" s="43" t="n">
        <f aca="false">IF(単位経済性!$C$5=0,0,B23/単位経済性!$C$5)</f>
        <v>583.333333333333</v>
      </c>
    </row>
    <row r="24" customFormat="false" ht="15" hidden="false" customHeight="true" outlineLevel="0" collapsed="false">
      <c r="A24" s="42" t="s">
        <v>170</v>
      </c>
      <c r="B24" s="21" t="n">
        <v>10500000</v>
      </c>
      <c r="C24" s="15" t="n">
        <v>0.21</v>
      </c>
      <c r="D24" s="29" t="n">
        <f aca="false">B24*C24</f>
        <v>2205000</v>
      </c>
      <c r="E24" s="21" t="n">
        <v>1000000</v>
      </c>
      <c r="F24" s="29" t="n">
        <f aca="false">D24-E24</f>
        <v>1205000</v>
      </c>
      <c r="G24" s="29" t="n">
        <f aca="false">G23+F24</f>
        <v>6038000</v>
      </c>
      <c r="H24" s="43" t="n">
        <f aca="false">IF(単位経済性!$C$5=0,0,B24/単位経済性!$C$5)</f>
        <v>583.333333333333</v>
      </c>
    </row>
    <row r="25" customFormat="false" ht="15" hidden="false" customHeight="true" outlineLevel="0" collapsed="false">
      <c r="A25" s="42" t="s">
        <v>171</v>
      </c>
      <c r="B25" s="21" t="n">
        <v>11000000</v>
      </c>
      <c r="C25" s="15" t="n">
        <v>0.21</v>
      </c>
      <c r="D25" s="29" t="n">
        <f aca="false">B25*C25</f>
        <v>2310000</v>
      </c>
      <c r="E25" s="21" t="n">
        <v>1000000</v>
      </c>
      <c r="F25" s="29" t="n">
        <f aca="false">D25-E25</f>
        <v>1310000</v>
      </c>
      <c r="G25" s="29" t="n">
        <f aca="false">G24+F25</f>
        <v>7348000</v>
      </c>
      <c r="H25" s="43" t="n">
        <f aca="false">IF(単位経済性!$C$5=0,0,B25/単位経済性!$C$5)</f>
        <v>611.111111111111</v>
      </c>
    </row>
    <row r="26" customFormat="false" ht="15" hidden="false" customHeight="true" outlineLevel="0" collapsed="false">
      <c r="A26" s="42" t="s">
        <v>172</v>
      </c>
      <c r="B26" s="21" t="n">
        <v>11500000</v>
      </c>
      <c r="C26" s="15" t="n">
        <v>0.21</v>
      </c>
      <c r="D26" s="29" t="n">
        <f aca="false">B26*C26</f>
        <v>2415000</v>
      </c>
      <c r="E26" s="21" t="n">
        <v>1100000</v>
      </c>
      <c r="F26" s="29" t="n">
        <f aca="false">D26-E26</f>
        <v>1315000</v>
      </c>
      <c r="G26" s="29" t="n">
        <f aca="false">G25+F26</f>
        <v>8663000</v>
      </c>
      <c r="H26" s="43" t="n">
        <f aca="false">IF(単位経済性!$C$5=0,0,B26/単位経済性!$C$5)</f>
        <v>638.888888888889</v>
      </c>
    </row>
    <row r="27" customFormat="false" ht="15" hidden="false" customHeight="true" outlineLevel="0" collapsed="false">
      <c r="A27" s="42" t="s">
        <v>173</v>
      </c>
      <c r="B27" s="21" t="n">
        <v>12000000</v>
      </c>
      <c r="C27" s="15" t="n">
        <v>0.21</v>
      </c>
      <c r="D27" s="29" t="n">
        <f aca="false">B27*C27</f>
        <v>2520000</v>
      </c>
      <c r="E27" s="21" t="n">
        <v>1100000</v>
      </c>
      <c r="F27" s="29" t="n">
        <f aca="false">D27-E27</f>
        <v>1420000</v>
      </c>
      <c r="G27" s="29" t="n">
        <f aca="false">G26+F27</f>
        <v>10083000</v>
      </c>
      <c r="H27" s="43" t="n">
        <f aca="false">IF(単位経済性!$C$5=0,0,B27/単位経済性!$C$5)</f>
        <v>666.666666666667</v>
      </c>
    </row>
    <row r="28" customFormat="false" ht="15" hidden="false" customHeight="true" outlineLevel="0" collapsed="false">
      <c r="A28" s="42" t="s">
        <v>174</v>
      </c>
      <c r="B28" s="21" t="n">
        <v>12500000</v>
      </c>
      <c r="C28" s="15" t="n">
        <v>0.22</v>
      </c>
      <c r="D28" s="29" t="n">
        <f aca="false">B28*C28</f>
        <v>2750000</v>
      </c>
      <c r="E28" s="21" t="n">
        <v>1100000</v>
      </c>
      <c r="F28" s="29" t="n">
        <f aca="false">D28-E28</f>
        <v>1650000</v>
      </c>
      <c r="G28" s="29" t="n">
        <f aca="false">G27+F28</f>
        <v>11733000</v>
      </c>
      <c r="H28" s="43" t="n">
        <f aca="false">IF(単位経済性!$C$5=0,0,B28/単位経済性!$C$5)</f>
        <v>694.444444444445</v>
      </c>
      <c r="I28" s="17" t="s">
        <v>175</v>
      </c>
    </row>
    <row r="30" customFormat="false" ht="15" hidden="false" customHeight="true" outlineLevel="0" collapsed="false">
      <c r="A30" s="42" t="s">
        <v>176</v>
      </c>
      <c r="B30" s="22" t="n">
        <f aca="false">SUM(B5:B16)</f>
        <v>27700000</v>
      </c>
      <c r="C30" s="32" t="n">
        <f aca="false">IF(B30=0,0,D30/B30)</f>
        <v>0.15985559566787</v>
      </c>
      <c r="D30" s="22" t="n">
        <f aca="false">SUM(D5:D16)</f>
        <v>4428000</v>
      </c>
      <c r="E30" s="22" t="n">
        <f aca="false">SUM(E5:E16)</f>
        <v>5525000</v>
      </c>
      <c r="F30" s="22" t="n">
        <f aca="false">SUM(F5:F16)</f>
        <v>-1097000</v>
      </c>
      <c r="H30" s="49" t="n">
        <f aca="false">SUM(H5:H16)</f>
        <v>1538.88888888889</v>
      </c>
    </row>
    <row r="31" customFormat="false" ht="15" hidden="false" customHeight="true" outlineLevel="0" collapsed="false">
      <c r="A31" s="42" t="s">
        <v>177</v>
      </c>
      <c r="B31" s="22" t="n">
        <f aca="false">SUM(B17:B28)</f>
        <v>117500000</v>
      </c>
      <c r="C31" s="32" t="n">
        <f aca="false">IF(B31=0,0,D31/B31)</f>
        <v>0.203659574468085</v>
      </c>
      <c r="D31" s="22" t="n">
        <f aca="false">SUM(D17:D28)</f>
        <v>23930000</v>
      </c>
      <c r="E31" s="22" t="n">
        <f aca="false">SUM(E17:E28)</f>
        <v>11100000</v>
      </c>
      <c r="F31" s="22" t="n">
        <f aca="false">SUM(F17:F28)</f>
        <v>12830000</v>
      </c>
      <c r="H31" s="49" t="n">
        <f aca="false">SUM(H17:H28)</f>
        <v>6527.77777777778</v>
      </c>
    </row>
    <row r="33" customFormat="false" ht="15" hidden="false" customHeight="true" outlineLevel="0" collapsed="false">
      <c r="A33" s="4" t="s">
        <v>178</v>
      </c>
    </row>
    <row r="34" customFormat="false" ht="15" hidden="false" customHeight="true" outlineLevel="0" collapsed="false">
      <c r="A34" s="50" t="s">
        <v>179</v>
      </c>
      <c r="B34" s="29" t="n">
        <f aca="false">F30</f>
        <v>-1097000</v>
      </c>
      <c r="D34" s="3" t="str">
        <f aca="false">IF(B34&gt;=0,"黒字","赤字（1年目の赤字は正常）")</f>
        <v>赤字（1年目の赤字は正常）</v>
      </c>
    </row>
    <row r="35" customFormat="false" ht="15" hidden="false" customHeight="true" outlineLevel="0" collapsed="false">
      <c r="A35" s="13" t="s">
        <v>180</v>
      </c>
      <c r="B35" s="38" t="n">
        <f aca="false">前提!$B$40+F30</f>
        <v>-1097000</v>
      </c>
      <c r="D35" s="5" t="str">
        <f aca="false">IF(B35&gt;=0,"○ Y1を自己資金で乗り切れる","✕ 追加資金が必要。創業融資を検討")</f>
        <v>✕ 追加資金が必要。創業融資を検討</v>
      </c>
    </row>
    <row r="36" customFormat="false" ht="15" hidden="false" customHeight="true" outlineLevel="0" collapsed="false">
      <c r="A36" s="13" t="s">
        <v>181</v>
      </c>
      <c r="B36" s="51" t="str">
        <f aca="false">IFERROR(INDEX($A$5:$A$28,MATCH(TRUE(),INDEX($F$5:$F$28&gt;=0,0),0)),"—")</f>
        <v>M9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9" min="2" style="1" width="11"/>
    <col collapsed="false" customWidth="true" hidden="false" outlineLevel="0" max="11" min="11" style="1" width="4"/>
    <col collapsed="false" customWidth="true" hidden="false" outlineLevel="0" max="12" min="12" style="1" width="56"/>
  </cols>
  <sheetData>
    <row r="1" customFormat="false" ht="17.25" hidden="false" customHeight="true" outlineLevel="0" collapsed="false">
      <c r="A1" s="2" t="s">
        <v>182</v>
      </c>
    </row>
    <row r="2" customFormat="false" ht="15" hidden="false" customHeight="true" outlineLevel="0" collapsed="false">
      <c r="A2" s="3" t="s">
        <v>183</v>
      </c>
    </row>
    <row r="3" customFormat="false" ht="15" hidden="false" customHeight="true" outlineLevel="0" collapsed="false">
      <c r="A3" s="52" t="s">
        <v>184</v>
      </c>
    </row>
    <row r="5" customFormat="false" ht="15" hidden="false" customHeight="true" outlineLevel="0" collapsed="false">
      <c r="A5" s="41" t="s">
        <v>185</v>
      </c>
      <c r="B5" s="53" t="n">
        <v>0.05</v>
      </c>
      <c r="C5" s="53" t="n">
        <v>0.075</v>
      </c>
      <c r="D5" s="53" t="n">
        <v>0.1</v>
      </c>
      <c r="E5" s="53" t="n">
        <v>0.125</v>
      </c>
      <c r="F5" s="53" t="n">
        <v>0.15</v>
      </c>
      <c r="G5" s="53" t="n">
        <v>0.175</v>
      </c>
      <c r="H5" s="53" t="n">
        <v>0.2</v>
      </c>
    </row>
    <row r="6" customFormat="false" ht="15" hidden="false" customHeight="true" outlineLevel="0" collapsed="false">
      <c r="A6" s="53" t="n">
        <v>0.25</v>
      </c>
      <c r="B6" s="54" t="n">
        <f aca="false">1-$A6-B$5-前提!$B$11-前提!$B$12/前提!$B$9-前提!$B$14/前提!$B$9-前提!$B$15-前提!$B$16-前提!$B$17+$A6*前提!$B$6</f>
        <v>0.290833333333333</v>
      </c>
      <c r="C6" s="54" t="n">
        <f aca="false">1-$A6-C$5-前提!$B$11-前提!$B$12/前提!$B$9-前提!$B$14/前提!$B$9-前提!$B$15-前提!$B$16-前提!$B$17+$A6*前提!$B$6</f>
        <v>0.265833333333333</v>
      </c>
      <c r="D6" s="54" t="n">
        <f aca="false">1-$A6-D$5-前提!$B$11-前提!$B$12/前提!$B$9-前提!$B$14/前提!$B$9-前提!$B$15-前提!$B$16-前提!$B$17+$A6*前提!$B$6</f>
        <v>0.240833333333333</v>
      </c>
      <c r="E6" s="54" t="n">
        <f aca="false">1-$A6-E$5-前提!$B$11-前提!$B$12/前提!$B$9-前提!$B$14/前提!$B$9-前提!$B$15-前提!$B$16-前提!$B$17+$A6*前提!$B$6</f>
        <v>0.215833333333333</v>
      </c>
      <c r="F6" s="54" t="n">
        <f aca="false">1-$A6-F$5-前提!$B$11-前提!$B$12/前提!$B$9-前提!$B$14/前提!$B$9-前提!$B$15-前提!$B$16-前提!$B$17+$A6*前提!$B$6</f>
        <v>0.190833333333333</v>
      </c>
      <c r="G6" s="54" t="n">
        <f aca="false">1-$A6-G$5-前提!$B$11-前提!$B$12/前提!$B$9-前提!$B$14/前提!$B$9-前提!$B$15-前提!$B$16-前提!$B$17+$A6*前提!$B$6</f>
        <v>0.165833333333333</v>
      </c>
      <c r="H6" s="54" t="n">
        <f aca="false">1-$A6-H$5-前提!$B$11-前提!$B$12/前提!$B$9-前提!$B$14/前提!$B$9-前提!$B$15-前提!$B$16-前提!$B$17+$A6*前提!$B$6</f>
        <v>0.140833333333333</v>
      </c>
      <c r="L6" s="3" t="s">
        <v>186</v>
      </c>
    </row>
    <row r="7" customFormat="false" ht="15" hidden="false" customHeight="true" outlineLevel="0" collapsed="false">
      <c r="A7" s="53" t="n">
        <v>0.275</v>
      </c>
      <c r="B7" s="54" t="n">
        <f aca="false">1-$A7-B$5-前提!$B$11-前提!$B$12/前提!$B$9-前提!$B$14/前提!$B$9-前提!$B$15-前提!$B$16-前提!$B$17+$A7*前提!$B$6</f>
        <v>0.268333333333333</v>
      </c>
      <c r="C7" s="54" t="n">
        <f aca="false">1-$A7-C$5-前提!$B$11-前提!$B$12/前提!$B$9-前提!$B$14/前提!$B$9-前提!$B$15-前提!$B$16-前提!$B$17+$A7*前提!$B$6</f>
        <v>0.243333333333333</v>
      </c>
      <c r="D7" s="54" t="n">
        <f aca="false">1-$A7-D$5-前提!$B$11-前提!$B$12/前提!$B$9-前提!$B$14/前提!$B$9-前提!$B$15-前提!$B$16-前提!$B$17+$A7*前提!$B$6</f>
        <v>0.218333333333333</v>
      </c>
      <c r="E7" s="54" t="n">
        <f aca="false">1-$A7-E$5-前提!$B$11-前提!$B$12/前提!$B$9-前提!$B$14/前提!$B$9-前提!$B$15-前提!$B$16-前提!$B$17+$A7*前提!$B$6</f>
        <v>0.193333333333333</v>
      </c>
      <c r="F7" s="54" t="n">
        <f aca="false">1-$A7-F$5-前提!$B$11-前提!$B$12/前提!$B$9-前提!$B$14/前提!$B$9-前提!$B$15-前提!$B$16-前提!$B$17+$A7*前提!$B$6</f>
        <v>0.168333333333333</v>
      </c>
      <c r="G7" s="54" t="n">
        <f aca="false">1-$A7-G$5-前提!$B$11-前提!$B$12/前提!$B$9-前提!$B$14/前提!$B$9-前提!$B$15-前提!$B$16-前提!$B$17+$A7*前提!$B$6</f>
        <v>0.143333333333333</v>
      </c>
      <c r="H7" s="54" t="n">
        <f aca="false">1-$A7-H$5-前提!$B$11-前提!$B$12/前提!$B$9-前提!$B$14/前提!$B$9-前提!$B$15-前提!$B$16-前提!$B$17+$A7*前提!$B$6</f>
        <v>0.118333333333333</v>
      </c>
      <c r="L7" s="3" t="s">
        <v>187</v>
      </c>
    </row>
    <row r="8" customFormat="false" ht="15" hidden="false" customHeight="true" outlineLevel="0" collapsed="false">
      <c r="A8" s="53" t="n">
        <v>0.3</v>
      </c>
      <c r="B8" s="54" t="n">
        <f aca="false">1-$A8-B$5-前提!$B$11-前提!$B$12/前提!$B$9-前提!$B$14/前提!$B$9-前提!$B$15-前提!$B$16-前提!$B$17+$A8*前提!$B$6</f>
        <v>0.245833333333333</v>
      </c>
      <c r="C8" s="54" t="n">
        <f aca="false">1-$A8-C$5-前提!$B$11-前提!$B$12/前提!$B$9-前提!$B$14/前提!$B$9-前提!$B$15-前提!$B$16-前提!$B$17+$A8*前提!$B$6</f>
        <v>0.220833333333333</v>
      </c>
      <c r="D8" s="54" t="n">
        <f aca="false">1-$A8-D$5-前提!$B$11-前提!$B$12/前提!$B$9-前提!$B$14/前提!$B$9-前提!$B$15-前提!$B$16-前提!$B$17+$A8*前提!$B$6</f>
        <v>0.195833333333333</v>
      </c>
      <c r="E8" s="54" t="n">
        <f aca="false">1-$A8-E$5-前提!$B$11-前提!$B$12/前提!$B$9-前提!$B$14/前提!$B$9-前提!$B$15-前提!$B$16-前提!$B$17+$A8*前提!$B$6</f>
        <v>0.170833333333333</v>
      </c>
      <c r="F8" s="54" t="n">
        <f aca="false">1-$A8-F$5-前提!$B$11-前提!$B$12/前提!$B$9-前提!$B$14/前提!$B$9-前提!$B$15-前提!$B$16-前提!$B$17+$A8*前提!$B$6</f>
        <v>0.145833333333333</v>
      </c>
      <c r="G8" s="54" t="n">
        <f aca="false">1-$A8-G$5-前提!$B$11-前提!$B$12/前提!$B$9-前提!$B$14/前提!$B$9-前提!$B$15-前提!$B$16-前提!$B$17+$A8*前提!$B$6</f>
        <v>0.120833333333333</v>
      </c>
      <c r="H8" s="54" t="n">
        <f aca="false">1-$A8-H$5-前提!$B$11-前提!$B$12/前提!$B$9-前提!$B$14/前提!$B$9-前提!$B$15-前提!$B$16-前提!$B$17+$A8*前提!$B$6</f>
        <v>0.0958333333333333</v>
      </c>
      <c r="L8" s="3" t="s">
        <v>188</v>
      </c>
    </row>
    <row r="9" customFormat="false" ht="15" hidden="false" customHeight="true" outlineLevel="0" collapsed="false">
      <c r="A9" s="53" t="n">
        <v>0.325</v>
      </c>
      <c r="B9" s="54" t="n">
        <f aca="false">1-$A9-B$5-前提!$B$11-前提!$B$12/前提!$B$9-前提!$B$14/前提!$B$9-前提!$B$15-前提!$B$16-前提!$B$17+$A9*前提!$B$6</f>
        <v>0.223333333333333</v>
      </c>
      <c r="C9" s="54" t="n">
        <f aca="false">1-$A9-C$5-前提!$B$11-前提!$B$12/前提!$B$9-前提!$B$14/前提!$B$9-前提!$B$15-前提!$B$16-前提!$B$17+$A9*前提!$B$6</f>
        <v>0.198333333333333</v>
      </c>
      <c r="D9" s="54" t="n">
        <f aca="false">1-$A9-D$5-前提!$B$11-前提!$B$12/前提!$B$9-前提!$B$14/前提!$B$9-前提!$B$15-前提!$B$16-前提!$B$17+$A9*前提!$B$6</f>
        <v>0.173333333333333</v>
      </c>
      <c r="E9" s="54" t="n">
        <f aca="false">1-$A9-E$5-前提!$B$11-前提!$B$12/前提!$B$9-前提!$B$14/前提!$B$9-前提!$B$15-前提!$B$16-前提!$B$17+$A9*前提!$B$6</f>
        <v>0.148333333333333</v>
      </c>
      <c r="F9" s="54" t="n">
        <f aca="false">1-$A9-F$5-前提!$B$11-前提!$B$12/前提!$B$9-前提!$B$14/前提!$B$9-前提!$B$15-前提!$B$16-前提!$B$17+$A9*前提!$B$6</f>
        <v>0.123333333333333</v>
      </c>
      <c r="G9" s="54" t="n">
        <f aca="false">1-$A9-G$5-前提!$B$11-前提!$B$12/前提!$B$9-前提!$B$14/前提!$B$9-前提!$B$15-前提!$B$16-前提!$B$17+$A9*前提!$B$6</f>
        <v>0.0983333333333333</v>
      </c>
      <c r="H9" s="54" t="n">
        <f aca="false">1-$A9-H$5-前提!$B$11-前提!$B$12/前提!$B$9-前提!$B$14/前提!$B$9-前提!$B$15-前提!$B$16-前提!$B$17+$A9*前提!$B$6</f>
        <v>0.0733333333333334</v>
      </c>
    </row>
    <row r="10" customFormat="false" ht="15" hidden="false" customHeight="true" outlineLevel="0" collapsed="false">
      <c r="A10" s="53" t="n">
        <v>0.35</v>
      </c>
      <c r="B10" s="54" t="n">
        <f aca="false">1-$A10-B$5-前提!$B$11-前提!$B$12/前提!$B$9-前提!$B$14/前提!$B$9-前提!$B$15-前提!$B$16-前提!$B$17+$A10*前提!$B$6</f>
        <v>0.200833333333333</v>
      </c>
      <c r="C10" s="54" t="n">
        <f aca="false">1-$A10-C$5-前提!$B$11-前提!$B$12/前提!$B$9-前提!$B$14/前提!$B$9-前提!$B$15-前提!$B$16-前提!$B$17+$A10*前提!$B$6</f>
        <v>0.175833333333333</v>
      </c>
      <c r="D10" s="54" t="n">
        <f aca="false">1-$A10-D$5-前提!$B$11-前提!$B$12/前提!$B$9-前提!$B$14/前提!$B$9-前提!$B$15-前提!$B$16-前提!$B$17+$A10*前提!$B$6</f>
        <v>0.150833333333333</v>
      </c>
      <c r="E10" s="54" t="n">
        <f aca="false">1-$A10-E$5-前提!$B$11-前提!$B$12/前提!$B$9-前提!$B$14/前提!$B$9-前提!$B$15-前提!$B$16-前提!$B$17+$A10*前提!$B$6</f>
        <v>0.125833333333333</v>
      </c>
      <c r="F10" s="54" t="n">
        <f aca="false">1-$A10-F$5-前提!$B$11-前提!$B$12/前提!$B$9-前提!$B$14/前提!$B$9-前提!$B$15-前提!$B$16-前提!$B$17+$A10*前提!$B$6</f>
        <v>0.100833333333333</v>
      </c>
      <c r="G10" s="54" t="n">
        <f aca="false">1-$A10-G$5-前提!$B$11-前提!$B$12/前提!$B$9-前提!$B$14/前提!$B$9-前提!$B$15-前提!$B$16-前提!$B$17+$A10*前提!$B$6</f>
        <v>0.0758333333333334</v>
      </c>
      <c r="H10" s="54" t="n">
        <f aca="false">1-$A10-H$5-前提!$B$11-前提!$B$12/前提!$B$9-前提!$B$14/前提!$B$9-前提!$B$15-前提!$B$16-前提!$B$17+$A10*前提!$B$6</f>
        <v>0.0508333333333334</v>
      </c>
      <c r="L10" s="3" t="s">
        <v>189</v>
      </c>
    </row>
    <row r="11" customFormat="false" ht="15" hidden="false" customHeight="true" outlineLevel="0" collapsed="false">
      <c r="A11" s="53" t="n">
        <v>0.375</v>
      </c>
      <c r="B11" s="54" t="n">
        <f aca="false">1-$A11-B$5-前提!$B$11-前提!$B$12/前提!$B$9-前提!$B$14/前提!$B$9-前提!$B$15-前提!$B$16-前提!$B$17+$A11*前提!$B$6</f>
        <v>0.178333333333333</v>
      </c>
      <c r="C11" s="54" t="n">
        <f aca="false">1-$A11-C$5-前提!$B$11-前提!$B$12/前提!$B$9-前提!$B$14/前提!$B$9-前提!$B$15-前提!$B$16-前提!$B$17+$A11*前提!$B$6</f>
        <v>0.153333333333333</v>
      </c>
      <c r="D11" s="54" t="n">
        <f aca="false">1-$A11-D$5-前提!$B$11-前提!$B$12/前提!$B$9-前提!$B$14/前提!$B$9-前提!$B$15-前提!$B$16-前提!$B$17+$A11*前提!$B$6</f>
        <v>0.128333333333333</v>
      </c>
      <c r="E11" s="54" t="n">
        <f aca="false">1-$A11-E$5-前提!$B$11-前提!$B$12/前提!$B$9-前提!$B$14/前提!$B$9-前提!$B$15-前提!$B$16-前提!$B$17+$A11*前提!$B$6</f>
        <v>0.103333333333333</v>
      </c>
      <c r="F11" s="54" t="n">
        <f aca="false">1-$A11-F$5-前提!$B$11-前提!$B$12/前提!$B$9-前提!$B$14/前提!$B$9-前提!$B$15-前提!$B$16-前提!$B$17+$A11*前提!$B$6</f>
        <v>0.0783333333333333</v>
      </c>
      <c r="G11" s="54" t="n">
        <f aca="false">1-$A11-G$5-前提!$B$11-前提!$B$12/前提!$B$9-前提!$B$14/前提!$B$9-前提!$B$15-前提!$B$16-前提!$B$17+$A11*前提!$B$6</f>
        <v>0.0533333333333334</v>
      </c>
      <c r="H11" s="54" t="n">
        <f aca="false">1-$A11-H$5-前提!$B$11-前提!$B$12/前提!$B$9-前提!$B$14/前提!$B$9-前提!$B$15-前提!$B$16-前提!$B$17+$A11*前提!$B$6</f>
        <v>0.0283333333333334</v>
      </c>
      <c r="L11" s="36" t="s">
        <v>190</v>
      </c>
    </row>
    <row r="12" customFormat="false" ht="15" hidden="false" customHeight="true" outlineLevel="0" collapsed="false">
      <c r="A12" s="53" t="n">
        <v>0.4</v>
      </c>
      <c r="B12" s="54" t="n">
        <f aca="false">1-$A12-B$5-前提!$B$11-前提!$B$12/前提!$B$9-前提!$B$14/前提!$B$9-前提!$B$15-前提!$B$16-前提!$B$17+$A12*前提!$B$6</f>
        <v>0.155833333333333</v>
      </c>
      <c r="C12" s="54" t="n">
        <f aca="false">1-$A12-C$5-前提!$B$11-前提!$B$12/前提!$B$9-前提!$B$14/前提!$B$9-前提!$B$15-前提!$B$16-前提!$B$17+$A12*前提!$B$6</f>
        <v>0.130833333333333</v>
      </c>
      <c r="D12" s="54" t="n">
        <f aca="false">1-$A12-D$5-前提!$B$11-前提!$B$12/前提!$B$9-前提!$B$14/前提!$B$9-前提!$B$15-前提!$B$16-前提!$B$17+$A12*前提!$B$6</f>
        <v>0.105833333333333</v>
      </c>
      <c r="E12" s="54" t="n">
        <f aca="false">1-$A12-E$5-前提!$B$11-前提!$B$12/前提!$B$9-前提!$B$14/前提!$B$9-前提!$B$15-前提!$B$16-前提!$B$17+$A12*前提!$B$6</f>
        <v>0.0808333333333333</v>
      </c>
      <c r="F12" s="54" t="n">
        <f aca="false">1-$A12-F$5-前提!$B$11-前提!$B$12/前提!$B$9-前提!$B$14/前提!$B$9-前提!$B$15-前提!$B$16-前提!$B$17+$A12*前提!$B$6</f>
        <v>0.0558333333333333</v>
      </c>
      <c r="G12" s="54" t="n">
        <f aca="false">1-$A12-G$5-前提!$B$11-前提!$B$12/前提!$B$9-前提!$B$14/前提!$B$9-前提!$B$15-前提!$B$16-前提!$B$17+$A12*前提!$B$6</f>
        <v>0.0308333333333334</v>
      </c>
      <c r="H12" s="54" t="n">
        <f aca="false">1-$A12-H$5-前提!$B$11-前提!$B$12/前提!$B$9-前提!$B$14/前提!$B$9-前提!$B$15-前提!$B$16-前提!$B$17+$A12*前提!$B$6</f>
        <v>0.00583333333333331</v>
      </c>
    </row>
    <row r="13" customFormat="false" ht="15" hidden="false" customHeight="true" outlineLevel="0" collapsed="false">
      <c r="A13" s="53" t="n">
        <v>0.425</v>
      </c>
      <c r="B13" s="54" t="n">
        <f aca="false">1-$A13-B$5-前提!$B$11-前提!$B$12/前提!$B$9-前提!$B$14/前提!$B$9-前提!$B$15-前提!$B$16-前提!$B$17+$A13*前提!$B$6</f>
        <v>0.133333333333333</v>
      </c>
      <c r="C13" s="54" t="n">
        <f aca="false">1-$A13-C$5-前提!$B$11-前提!$B$12/前提!$B$9-前提!$B$14/前提!$B$9-前提!$B$15-前提!$B$16-前提!$B$17+$A13*前提!$B$6</f>
        <v>0.108333333333333</v>
      </c>
      <c r="D13" s="54" t="n">
        <f aca="false">1-$A13-D$5-前提!$B$11-前提!$B$12/前提!$B$9-前提!$B$14/前提!$B$9-前提!$B$15-前提!$B$16-前提!$B$17+$A13*前提!$B$6</f>
        <v>0.0833333333333333</v>
      </c>
      <c r="E13" s="54" t="n">
        <f aca="false">1-$A13-E$5-前提!$B$11-前提!$B$12/前提!$B$9-前提!$B$14/前提!$B$9-前提!$B$15-前提!$B$16-前提!$B$17+$A13*前提!$B$6</f>
        <v>0.0583333333333333</v>
      </c>
      <c r="F13" s="54" t="n">
        <f aca="false">1-$A13-F$5-前提!$B$11-前提!$B$12/前提!$B$9-前提!$B$14/前提!$B$9-前提!$B$15-前提!$B$16-前提!$B$17+$A13*前提!$B$6</f>
        <v>0.0333333333333333</v>
      </c>
      <c r="G13" s="54" t="n">
        <f aca="false">1-$A13-G$5-前提!$B$11-前提!$B$12/前提!$B$9-前提!$B$14/前提!$B$9-前提!$B$15-前提!$B$16-前提!$B$17+$A13*前提!$B$6</f>
        <v>0.0083333333333333</v>
      </c>
      <c r="H13" s="54" t="n">
        <f aca="false">1-$A13-H$5-前提!$B$11-前提!$B$12/前提!$B$9-前提!$B$14/前提!$B$9-前提!$B$15-前提!$B$16-前提!$B$17+$A13*前提!$B$6</f>
        <v>-0.0166666666666667</v>
      </c>
    </row>
    <row r="14" customFormat="false" ht="15" hidden="false" customHeight="true" outlineLevel="0" collapsed="false">
      <c r="A14" s="53" t="n">
        <v>0.45</v>
      </c>
      <c r="B14" s="54" t="n">
        <f aca="false">1-$A14-B$5-前提!$B$11-前提!$B$12/前提!$B$9-前提!$B$14/前提!$B$9-前提!$B$15-前提!$B$16-前提!$B$17+$A14*前提!$B$6</f>
        <v>0.110833333333333</v>
      </c>
      <c r="C14" s="54" t="n">
        <f aca="false">1-$A14-C$5-前提!$B$11-前提!$B$12/前提!$B$9-前提!$B$14/前提!$B$9-前提!$B$15-前提!$B$16-前提!$B$17+$A14*前提!$B$6</f>
        <v>0.0858333333333334</v>
      </c>
      <c r="D14" s="54" t="n">
        <f aca="false">1-$A14-D$5-前提!$B$11-前提!$B$12/前提!$B$9-前提!$B$14/前提!$B$9-前提!$B$15-前提!$B$16-前提!$B$17+$A14*前提!$B$6</f>
        <v>0.0608333333333334</v>
      </c>
      <c r="E14" s="54" t="n">
        <f aca="false">1-$A14-E$5-前提!$B$11-前提!$B$12/前提!$B$9-前提!$B$14/前提!$B$9-前提!$B$15-前提!$B$16-前提!$B$17+$A14*前提!$B$6</f>
        <v>0.0358333333333334</v>
      </c>
      <c r="F14" s="54" t="n">
        <f aca="false">1-$A14-F$5-前提!$B$11-前提!$B$12/前提!$B$9-前提!$B$14/前提!$B$9-前提!$B$15-前提!$B$16-前提!$B$17+$A14*前提!$B$6</f>
        <v>0.0108333333333333</v>
      </c>
      <c r="G14" s="54" t="n">
        <f aca="false">1-$A14-G$5-前提!$B$11-前提!$B$12/前提!$B$9-前提!$B$14/前提!$B$9-前提!$B$15-前提!$B$16-前提!$B$17+$A14*前提!$B$6</f>
        <v>-0.0141666666666666</v>
      </c>
      <c r="H14" s="54" t="n">
        <f aca="false">1-$A14-H$5-前提!$B$11-前提!$B$12/前提!$B$9-前提!$B$14/前提!$B$9-前提!$B$15-前提!$B$16-前提!$B$17+$A14*前提!$B$6</f>
        <v>-0.0391666666666666</v>
      </c>
    </row>
    <row r="17" customFormat="false" ht="15" hidden="false" customHeight="true" outlineLevel="0" collapsed="false">
      <c r="A17" s="4" t="s">
        <v>191</v>
      </c>
    </row>
    <row r="18" customFormat="false" ht="15" hidden="false" customHeight="true" outlineLevel="0" collapsed="false">
      <c r="A18" s="55" t="s">
        <v>192</v>
      </c>
      <c r="B18" s="56" t="n">
        <v>130</v>
      </c>
      <c r="C18" s="56" t="n">
        <v>135</v>
      </c>
      <c r="D18" s="56" t="n">
        <v>140</v>
      </c>
      <c r="E18" s="56" t="n">
        <v>145</v>
      </c>
      <c r="F18" s="56" t="n">
        <v>150</v>
      </c>
      <c r="G18" s="56" t="n">
        <v>155</v>
      </c>
      <c r="H18" s="56" t="n">
        <v>160</v>
      </c>
      <c r="I18" s="56" t="n">
        <v>165</v>
      </c>
    </row>
    <row r="19" customFormat="false" ht="15" hidden="false" customHeight="true" outlineLevel="0" collapsed="false">
      <c r="A19" s="13" t="s">
        <v>122</v>
      </c>
      <c r="B19" s="54" t="n">
        <f aca="false">前提!$B$10/B$18/前提!$B$9</f>
        <v>0.384615384615385</v>
      </c>
      <c r="C19" s="54" t="n">
        <f aca="false">前提!$B$10/C$18/前提!$B$9</f>
        <v>0.37037037037037</v>
      </c>
      <c r="D19" s="54" t="n">
        <f aca="false">前提!$B$10/D$18/前提!$B$9</f>
        <v>0.357142857142857</v>
      </c>
      <c r="E19" s="54" t="n">
        <f aca="false">前提!$B$10/E$18/前提!$B$9</f>
        <v>0.344827586206897</v>
      </c>
      <c r="F19" s="54" t="n">
        <f aca="false">前提!$B$10/F$18/前提!$B$9</f>
        <v>0.333333333333333</v>
      </c>
      <c r="G19" s="54" t="n">
        <f aca="false">前提!$B$10/G$18/前提!$B$9</f>
        <v>0.32258064516129</v>
      </c>
      <c r="H19" s="54" t="n">
        <f aca="false">前提!$B$10/H$18/前提!$B$9</f>
        <v>0.3125</v>
      </c>
      <c r="I19" s="54" t="n">
        <f aca="false">前提!$B$10/I$18/前提!$B$9</f>
        <v>0.303030303030303</v>
      </c>
    </row>
    <row r="20" customFormat="false" ht="15" hidden="false" customHeight="true" outlineLevel="0" collapsed="false">
      <c r="A20" s="5" t="s">
        <v>121</v>
      </c>
      <c r="B20" s="57" t="n">
        <f aca="false">1-B19-前提!$B$13-前提!$B$11-前提!$B$12/前提!$B$9-前提!$B$14/前提!$B$9-前提!$B$15-前提!$B$16-前提!$B$17+B19*前提!$B$6</f>
        <v>0.0996794871794872</v>
      </c>
      <c r="C20" s="57" t="n">
        <f aca="false">1-C19-前提!$B$13-前提!$B$11-前提!$B$12/前提!$B$9-前提!$B$14/前提!$B$9-前提!$B$15-前提!$B$16-前提!$B$17+C19*前提!$B$6</f>
        <v>0.1125</v>
      </c>
      <c r="D20" s="57" t="n">
        <f aca="false">1-D19-前提!$B$13-前提!$B$11-前提!$B$12/前提!$B$9-前提!$B$14/前提!$B$9-前提!$B$15-前提!$B$16-前提!$B$17+D19*前提!$B$6</f>
        <v>0.124404761904762</v>
      </c>
      <c r="E20" s="57" t="n">
        <f aca="false">1-E19-前提!$B$13-前提!$B$11-前提!$B$12/前提!$B$9-前提!$B$14/前提!$B$9-前提!$B$15-前提!$B$16-前提!$B$17+E19*前提!$B$6</f>
        <v>0.135488505747126</v>
      </c>
      <c r="F20" s="57" t="n">
        <f aca="false">1-F19-前提!$B$13-前提!$B$11-前提!$B$12/前提!$B$9-前提!$B$14/前提!$B$9-前提!$B$15-前提!$B$16-前提!$B$17+F19*前提!$B$6</f>
        <v>0.145833333333333</v>
      </c>
      <c r="G20" s="57" t="n">
        <f aca="false">1-G19-前提!$B$13-前提!$B$11-前提!$B$12/前提!$B$9-前提!$B$14/前提!$B$9-前提!$B$15-前提!$B$16-前提!$B$17+G19*前提!$B$6</f>
        <v>0.155510752688172</v>
      </c>
      <c r="H20" s="57" t="n">
        <f aca="false">1-H19-前提!$B$13-前提!$B$11-前提!$B$12/前提!$B$9-前提!$B$14/前提!$B$9-前提!$B$15-前提!$B$16-前提!$B$17+H19*前提!$B$6</f>
        <v>0.164583333333333</v>
      </c>
      <c r="I20" s="57" t="n">
        <f aca="false">1-I19-前提!$B$13-前提!$B$11-前提!$B$12/前提!$B$9-前提!$B$14/前提!$B$9-前提!$B$15-前提!$B$16-前提!$B$17+I19*前提!$B$6</f>
        <v>0.173106060606061</v>
      </c>
    </row>
    <row r="22" customFormat="false" ht="15" hidden="false" customHeight="true" outlineLevel="0" collapsed="false">
      <c r="A22" s="36" t="s">
        <v>193</v>
      </c>
    </row>
  </sheetData>
  <conditionalFormatting sqref="B6:H14">
    <cfRule type="cellIs" priority="2" operator="lessThan" aboveAverage="0" equalAverage="0" bottom="0" percent="0" rank="0" text="" dxfId="0">
      <formula>0.12</formula>
    </cfRule>
    <cfRule type="cellIs" priority="3" operator="between" aboveAverage="0" equalAverage="0" bottom="0" percent="0" rank="0" text="" dxfId="1">
      <formula>0.12</formula>
      <formula>0.18</formula>
    </cfRule>
    <cfRule type="cellIs" priority="4" operator="greaterThanOrEqual" aboveAverage="0" equalAverage="0" bottom="0" percent="0" rank="0" text="" dxfId="2">
      <formula>0.18</formula>
    </cfRule>
  </conditionalFormatting>
  <conditionalFormatting sqref="B20:I20">
    <cfRule type="cellIs" priority="5" operator="lessThan" aboveAverage="0" equalAverage="0" bottom="0" percent="0" rank="0" text="" dxfId="0">
      <formula>0.12</formula>
    </cfRule>
    <cfRule type="cellIs" priority="6" operator="between" aboveAverage="0" equalAverage="0" bottom="0" percent="0" rank="0" text="" dxfId="1">
      <formula>0.12</formula>
      <formula>0.18</formula>
    </cfRule>
    <cfRule type="cellIs" priority="7" operator="greaterThanOrEqual" aboveAverage="0" equalAverage="0" bottom="0" percent="0" rank="0" text="" dxfId="2">
      <formula>0.18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24"/>
    <col collapsed="false" customWidth="true" hidden="false" outlineLevel="0" max="6" min="6" style="1" width="11"/>
    <col collapsed="false" customWidth="true" hidden="false" outlineLevel="0" max="7" min="7" style="1" width="8"/>
    <col collapsed="false" customWidth="true" hidden="false" outlineLevel="0" max="9" min="8" style="1" width="13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3" min="12" style="1" width="11"/>
    <col collapsed="false" customWidth="true" hidden="false" outlineLevel="0" max="15" min="14" style="1" width="10"/>
    <col collapsed="false" customWidth="true" hidden="false" outlineLevel="0" max="16" min="16" style="1" width="13"/>
    <col collapsed="false" customWidth="true" hidden="false" outlineLevel="0" max="17" min="17" style="1" width="12"/>
    <col collapsed="false" customWidth="true" hidden="false" outlineLevel="0" max="18" min="18" style="1" width="16"/>
    <col collapsed="false" customWidth="true" hidden="false" outlineLevel="0" max="19" min="19" style="1" width="22"/>
    <col collapsed="false" customWidth="true" hidden="false" outlineLevel="0" max="21" min="20" style="1" width="17"/>
    <col collapsed="false" customWidth="true" hidden="false" outlineLevel="0" max="22" min="22" style="1" width="12"/>
  </cols>
  <sheetData>
    <row r="1" customFormat="false" ht="18.75" hidden="false" customHeight="true" outlineLevel="0" collapsed="false">
      <c r="A1" s="2" t="s">
        <v>194</v>
      </c>
    </row>
    <row r="2" customFormat="false" ht="15" hidden="false" customHeight="true" outlineLevel="0" collapsed="false">
      <c r="A2" s="36" t="s">
        <v>195</v>
      </c>
    </row>
    <row r="3" customFormat="false" ht="15" hidden="false" customHeight="true" outlineLevel="0" collapsed="false">
      <c r="A3" s="3" t="s">
        <v>196</v>
      </c>
    </row>
    <row r="5" customFormat="false" ht="15" hidden="false" customHeight="true" outlineLevel="0" collapsed="false">
      <c r="A5" s="41" t="s">
        <v>197</v>
      </c>
      <c r="B5" s="41" t="s">
        <v>198</v>
      </c>
      <c r="C5" s="41" t="s">
        <v>199</v>
      </c>
      <c r="D5" s="58" t="s">
        <v>200</v>
      </c>
      <c r="E5" s="41" t="s">
        <v>201</v>
      </c>
      <c r="F5" s="41" t="s">
        <v>202</v>
      </c>
      <c r="G5" s="41" t="s">
        <v>203</v>
      </c>
      <c r="H5" s="41" t="s">
        <v>204</v>
      </c>
      <c r="I5" s="41" t="s">
        <v>205</v>
      </c>
      <c r="J5" s="41" t="s">
        <v>206</v>
      </c>
      <c r="K5" s="41" t="s">
        <v>207</v>
      </c>
      <c r="L5" s="41" t="s">
        <v>208</v>
      </c>
      <c r="M5" s="41" t="s">
        <v>209</v>
      </c>
      <c r="N5" s="41" t="s">
        <v>210</v>
      </c>
      <c r="O5" s="41" t="s">
        <v>211</v>
      </c>
      <c r="P5" s="41" t="s">
        <v>212</v>
      </c>
      <c r="Q5" s="41" t="s">
        <v>213</v>
      </c>
      <c r="R5" s="41" t="s">
        <v>214</v>
      </c>
      <c r="S5" s="41" t="s">
        <v>215</v>
      </c>
      <c r="T5" s="41" t="s">
        <v>216</v>
      </c>
      <c r="U5" s="41" t="s">
        <v>217</v>
      </c>
      <c r="V5" s="41" t="s">
        <v>218</v>
      </c>
    </row>
    <row r="6" customFormat="false" ht="15" hidden="false" customHeight="true" outlineLevel="0" collapsed="false">
      <c r="A6" s="59" t="s">
        <v>219</v>
      </c>
      <c r="B6" s="59" t="s">
        <v>220</v>
      </c>
      <c r="C6" s="59" t="s">
        <v>221</v>
      </c>
      <c r="D6" s="59" t="s">
        <v>222</v>
      </c>
      <c r="E6" s="59" t="s">
        <v>223</v>
      </c>
      <c r="F6" s="19" t="n">
        <v>320</v>
      </c>
      <c r="G6" s="24" t="n">
        <v>150</v>
      </c>
      <c r="H6" s="29" t="n">
        <f aca="false">F6*G6</f>
        <v>48000</v>
      </c>
      <c r="I6" s="21" t="n">
        <v>20000</v>
      </c>
      <c r="J6" s="29" t="n">
        <f aca="false">H6*前提!$B$11</f>
        <v>7200</v>
      </c>
      <c r="K6" s="21" t="n">
        <v>2400</v>
      </c>
      <c r="L6" s="21" t="n">
        <v>3200</v>
      </c>
      <c r="M6" s="29" t="n">
        <f aca="false">H6*前提!$B$15</f>
        <v>4800</v>
      </c>
      <c r="N6" s="60" t="s">
        <v>224</v>
      </c>
      <c r="O6" s="59" t="s">
        <v>225</v>
      </c>
      <c r="P6" s="59" t="s">
        <v>226</v>
      </c>
      <c r="Q6" s="59" t="s">
        <v>227</v>
      </c>
      <c r="R6" s="59" t="s">
        <v>228</v>
      </c>
      <c r="S6" s="59" t="s">
        <v>229</v>
      </c>
      <c r="T6" s="29" t="n">
        <f aca="false">I6*前提!$B$6</f>
        <v>2000</v>
      </c>
      <c r="U6" s="23" t="n">
        <f aca="false">H6-I6-J6-K6-L6-M6+T6</f>
        <v>12400</v>
      </c>
      <c r="V6" s="61" t="n">
        <f aca="false">IF(H6=0,0,U6/H6)</f>
        <v>0.258333333333333</v>
      </c>
    </row>
    <row r="7" customFormat="false" ht="15" hidden="false" customHeight="true" outlineLevel="0" collapsed="false">
      <c r="A7" s="59"/>
      <c r="B7" s="59"/>
      <c r="C7" s="59"/>
      <c r="D7" s="59"/>
      <c r="E7" s="59"/>
      <c r="F7" s="59"/>
      <c r="G7" s="59"/>
      <c r="H7" s="29" t="str">
        <f aca="false">IF(F7="","",F7*G7)</f>
        <v/>
      </c>
      <c r="I7" s="59"/>
      <c r="J7" s="29" t="str">
        <f aca="false">IF(H7="","",H7*前提!$B$11)</f>
        <v/>
      </c>
      <c r="K7" s="59"/>
      <c r="L7" s="59"/>
      <c r="M7" s="29" t="str">
        <f aca="false">IF(H7="","",H7*前提!$B$15)</f>
        <v/>
      </c>
      <c r="N7" s="59"/>
      <c r="O7" s="59"/>
      <c r="P7" s="59"/>
      <c r="Q7" s="59"/>
      <c r="R7" s="59"/>
      <c r="S7" s="59"/>
      <c r="T7" s="29" t="str">
        <f aca="false">IF(I7="","",I7*前提!$B$6)</f>
        <v/>
      </c>
      <c r="U7" s="29" t="str">
        <f aca="false">IF(H7="","",H7-N(I7)-N(J7)-N(K7)-N(L7)-N(M7)+N(T7))</f>
        <v/>
      </c>
      <c r="V7" s="30" t="str">
        <f aca="false">IF(OR(H7="",H7=0),"",U7/H7)</f>
        <v/>
      </c>
    </row>
    <row r="8" customFormat="false" ht="15" hidden="false" customHeight="true" outlineLevel="0" collapsed="false">
      <c r="A8" s="59"/>
      <c r="B8" s="59"/>
      <c r="C8" s="59"/>
      <c r="D8" s="59"/>
      <c r="E8" s="59"/>
      <c r="F8" s="59"/>
      <c r="G8" s="59"/>
      <c r="H8" s="29" t="str">
        <f aca="false">IF(F8="","",F8*G8)</f>
        <v/>
      </c>
      <c r="I8" s="59"/>
      <c r="J8" s="29" t="str">
        <f aca="false">IF(H8="","",H8*前提!$B$11)</f>
        <v/>
      </c>
      <c r="K8" s="59"/>
      <c r="L8" s="59"/>
      <c r="M8" s="29" t="str">
        <f aca="false">IF(H8="","",H8*前提!$B$15)</f>
        <v/>
      </c>
      <c r="N8" s="59"/>
      <c r="O8" s="59"/>
      <c r="P8" s="59"/>
      <c r="Q8" s="59"/>
      <c r="R8" s="59"/>
      <c r="S8" s="59"/>
      <c r="T8" s="29" t="str">
        <f aca="false">IF(I8="","",I8*前提!$B$6)</f>
        <v/>
      </c>
      <c r="U8" s="29" t="str">
        <f aca="false">IF(H8="","",H8-N(I8)-N(J8)-N(K8)-N(L8)-N(M8)+N(T8))</f>
        <v/>
      </c>
      <c r="V8" s="30" t="str">
        <f aca="false">IF(OR(H8="",H8=0),"",U8/H8)</f>
        <v/>
      </c>
    </row>
    <row r="9" customFormat="false" ht="15" hidden="false" customHeight="true" outlineLevel="0" collapsed="false">
      <c r="A9" s="59"/>
      <c r="B9" s="59"/>
      <c r="C9" s="59"/>
      <c r="D9" s="59"/>
      <c r="E9" s="59"/>
      <c r="F9" s="59"/>
      <c r="G9" s="59"/>
      <c r="H9" s="29" t="str">
        <f aca="false">IF(F9="","",F9*G9)</f>
        <v/>
      </c>
      <c r="I9" s="59"/>
      <c r="J9" s="29" t="str">
        <f aca="false">IF(H9="","",H9*前提!$B$11)</f>
        <v/>
      </c>
      <c r="K9" s="59"/>
      <c r="L9" s="59"/>
      <c r="M9" s="29" t="str">
        <f aca="false">IF(H9="","",H9*前提!$B$15)</f>
        <v/>
      </c>
      <c r="N9" s="59"/>
      <c r="O9" s="59"/>
      <c r="P9" s="59"/>
      <c r="Q9" s="59"/>
      <c r="R9" s="59"/>
      <c r="S9" s="59"/>
      <c r="T9" s="29" t="str">
        <f aca="false">IF(I9="","",I9*前提!$B$6)</f>
        <v/>
      </c>
      <c r="U9" s="29" t="str">
        <f aca="false">IF(H9="","",H9-N(I9)-N(J9)-N(K9)-N(L9)-N(M9)+N(T9))</f>
        <v/>
      </c>
      <c r="V9" s="30" t="str">
        <f aca="false">IF(OR(H9="",H9=0),"",U9/H9)</f>
        <v/>
      </c>
    </row>
    <row r="10" customFormat="false" ht="15" hidden="false" customHeight="true" outlineLevel="0" collapsed="false">
      <c r="A10" s="59"/>
      <c r="B10" s="59"/>
      <c r="C10" s="59"/>
      <c r="D10" s="59"/>
      <c r="E10" s="59"/>
      <c r="F10" s="59"/>
      <c r="G10" s="59"/>
      <c r="H10" s="29" t="str">
        <f aca="false">IF(F10="","",F10*G10)</f>
        <v/>
      </c>
      <c r="I10" s="59"/>
      <c r="J10" s="29" t="str">
        <f aca="false">IF(H10="","",H10*前提!$B$11)</f>
        <v/>
      </c>
      <c r="K10" s="59"/>
      <c r="L10" s="59"/>
      <c r="M10" s="29" t="str">
        <f aca="false">IF(H10="","",H10*前提!$B$15)</f>
        <v/>
      </c>
      <c r="N10" s="59"/>
      <c r="O10" s="59"/>
      <c r="P10" s="59"/>
      <c r="Q10" s="59"/>
      <c r="R10" s="59"/>
      <c r="S10" s="59"/>
      <c r="T10" s="29" t="str">
        <f aca="false">IF(I10="","",I10*前提!$B$6)</f>
        <v/>
      </c>
      <c r="U10" s="29" t="str">
        <f aca="false">IF(H10="","",H10-N(I10)-N(J10)-N(K10)-N(L10)-N(M10)+N(T10))</f>
        <v/>
      </c>
      <c r="V10" s="30" t="str">
        <f aca="false">IF(OR(H10="",H10=0),"",U10/H10)</f>
        <v/>
      </c>
    </row>
    <row r="11" customFormat="false" ht="15" hidden="false" customHeight="true" outlineLevel="0" collapsed="false">
      <c r="A11" s="59"/>
      <c r="B11" s="59"/>
      <c r="C11" s="59"/>
      <c r="D11" s="59"/>
      <c r="E11" s="59"/>
      <c r="F11" s="59"/>
      <c r="G11" s="59"/>
      <c r="H11" s="29" t="str">
        <f aca="false">IF(F11="","",F11*G11)</f>
        <v/>
      </c>
      <c r="I11" s="59"/>
      <c r="J11" s="29" t="str">
        <f aca="false">IF(H11="","",H11*前提!$B$11)</f>
        <v/>
      </c>
      <c r="K11" s="59"/>
      <c r="L11" s="59"/>
      <c r="M11" s="29" t="str">
        <f aca="false">IF(H11="","",H11*前提!$B$15)</f>
        <v/>
      </c>
      <c r="N11" s="59"/>
      <c r="O11" s="59"/>
      <c r="P11" s="59"/>
      <c r="Q11" s="59"/>
      <c r="R11" s="59"/>
      <c r="S11" s="59"/>
      <c r="T11" s="29" t="str">
        <f aca="false">IF(I11="","",I11*前提!$B$6)</f>
        <v/>
      </c>
      <c r="U11" s="29" t="str">
        <f aca="false">IF(H11="","",H11-N(I11)-N(J11)-N(K11)-N(L11)-N(M11)+N(T11))</f>
        <v/>
      </c>
      <c r="V11" s="30" t="str">
        <f aca="false">IF(OR(H11="",H11=0),"",U11/H11)</f>
        <v/>
      </c>
    </row>
    <row r="12" customFormat="false" ht="15" hidden="false" customHeight="true" outlineLevel="0" collapsed="false">
      <c r="A12" s="59"/>
      <c r="B12" s="59"/>
      <c r="C12" s="59"/>
      <c r="D12" s="59"/>
      <c r="E12" s="59"/>
      <c r="F12" s="59"/>
      <c r="G12" s="59"/>
      <c r="H12" s="29" t="str">
        <f aca="false">IF(F12="","",F12*G12)</f>
        <v/>
      </c>
      <c r="I12" s="59"/>
      <c r="J12" s="29" t="str">
        <f aca="false">IF(H12="","",H12*前提!$B$11)</f>
        <v/>
      </c>
      <c r="K12" s="59"/>
      <c r="L12" s="59"/>
      <c r="M12" s="29" t="str">
        <f aca="false">IF(H12="","",H12*前提!$B$15)</f>
        <v/>
      </c>
      <c r="N12" s="59"/>
      <c r="O12" s="59"/>
      <c r="P12" s="59"/>
      <c r="Q12" s="59"/>
      <c r="R12" s="59"/>
      <c r="S12" s="59"/>
      <c r="T12" s="29" t="str">
        <f aca="false">IF(I12="","",I12*前提!$B$6)</f>
        <v/>
      </c>
      <c r="U12" s="29" t="str">
        <f aca="false">IF(H12="","",H12-N(I12)-N(J12)-N(K12)-N(L12)-N(M12)+N(T12))</f>
        <v/>
      </c>
      <c r="V12" s="30" t="str">
        <f aca="false">IF(OR(H12="",H12=0),"",U12/H12)</f>
        <v/>
      </c>
    </row>
    <row r="13" customFormat="false" ht="15" hidden="false" customHeight="true" outlineLevel="0" collapsed="false">
      <c r="A13" s="59"/>
      <c r="B13" s="59"/>
      <c r="C13" s="59"/>
      <c r="D13" s="59"/>
      <c r="E13" s="59"/>
      <c r="F13" s="59"/>
      <c r="G13" s="59"/>
      <c r="H13" s="29" t="str">
        <f aca="false">IF(F13="","",F13*G13)</f>
        <v/>
      </c>
      <c r="I13" s="59"/>
      <c r="J13" s="29" t="str">
        <f aca="false">IF(H13="","",H13*前提!$B$11)</f>
        <v/>
      </c>
      <c r="K13" s="59"/>
      <c r="L13" s="59"/>
      <c r="M13" s="29" t="str">
        <f aca="false">IF(H13="","",H13*前提!$B$15)</f>
        <v/>
      </c>
      <c r="N13" s="59"/>
      <c r="O13" s="59"/>
      <c r="P13" s="59"/>
      <c r="Q13" s="59"/>
      <c r="R13" s="59"/>
      <c r="S13" s="59"/>
      <c r="T13" s="29" t="str">
        <f aca="false">IF(I13="","",I13*前提!$B$6)</f>
        <v/>
      </c>
      <c r="U13" s="29" t="str">
        <f aca="false">IF(H13="","",H13-N(I13)-N(J13)-N(K13)-N(L13)-N(M13)+N(T13))</f>
        <v/>
      </c>
      <c r="V13" s="30" t="str">
        <f aca="false">IF(OR(H13="",H13=0),"",U13/H13)</f>
        <v/>
      </c>
    </row>
    <row r="14" customFormat="false" ht="15" hidden="false" customHeight="true" outlineLevel="0" collapsed="false">
      <c r="A14" s="59"/>
      <c r="B14" s="59"/>
      <c r="C14" s="59"/>
      <c r="D14" s="59"/>
      <c r="E14" s="59"/>
      <c r="F14" s="59"/>
      <c r="G14" s="59"/>
      <c r="H14" s="29" t="str">
        <f aca="false">IF(F14="","",F14*G14)</f>
        <v/>
      </c>
      <c r="I14" s="59"/>
      <c r="J14" s="29" t="str">
        <f aca="false">IF(H14="","",H14*前提!$B$11)</f>
        <v/>
      </c>
      <c r="K14" s="59"/>
      <c r="L14" s="59"/>
      <c r="M14" s="29" t="str">
        <f aca="false">IF(H14="","",H14*前提!$B$15)</f>
        <v/>
      </c>
      <c r="N14" s="59"/>
      <c r="O14" s="59"/>
      <c r="P14" s="59"/>
      <c r="Q14" s="59"/>
      <c r="R14" s="59"/>
      <c r="S14" s="59"/>
      <c r="T14" s="29" t="str">
        <f aca="false">IF(I14="","",I14*前提!$B$6)</f>
        <v/>
      </c>
      <c r="U14" s="29" t="str">
        <f aca="false">IF(H14="","",H14-N(I14)-N(J14)-N(K14)-N(L14)-N(M14)+N(T14))</f>
        <v/>
      </c>
      <c r="V14" s="30" t="str">
        <f aca="false">IF(OR(H14="",H14=0),"",U14/H14)</f>
        <v/>
      </c>
    </row>
    <row r="15" customFormat="false" ht="15" hidden="false" customHeight="true" outlineLevel="0" collapsed="false">
      <c r="A15" s="59"/>
      <c r="B15" s="59"/>
      <c r="C15" s="59"/>
      <c r="D15" s="59"/>
      <c r="E15" s="59"/>
      <c r="F15" s="59"/>
      <c r="G15" s="59"/>
      <c r="H15" s="29" t="str">
        <f aca="false">IF(F15="","",F15*G15)</f>
        <v/>
      </c>
      <c r="I15" s="59"/>
      <c r="J15" s="29" t="str">
        <f aca="false">IF(H15="","",H15*前提!$B$11)</f>
        <v/>
      </c>
      <c r="K15" s="59"/>
      <c r="L15" s="59"/>
      <c r="M15" s="29" t="str">
        <f aca="false">IF(H15="","",H15*前提!$B$15)</f>
        <v/>
      </c>
      <c r="N15" s="59"/>
      <c r="O15" s="59"/>
      <c r="P15" s="59"/>
      <c r="Q15" s="59"/>
      <c r="R15" s="59"/>
      <c r="S15" s="59"/>
      <c r="T15" s="29" t="str">
        <f aca="false">IF(I15="","",I15*前提!$B$6)</f>
        <v/>
      </c>
      <c r="U15" s="29" t="str">
        <f aca="false">IF(H15="","",H15-N(I15)-N(J15)-N(K15)-N(L15)-N(M15)+N(T15))</f>
        <v/>
      </c>
      <c r="V15" s="30" t="str">
        <f aca="false">IF(OR(H15="",H15=0),"",U15/H15)</f>
        <v/>
      </c>
    </row>
    <row r="16" customFormat="false" ht="15" hidden="false" customHeight="true" outlineLevel="0" collapsed="false">
      <c r="A16" s="59"/>
      <c r="B16" s="59"/>
      <c r="C16" s="59"/>
      <c r="D16" s="59"/>
      <c r="E16" s="59"/>
      <c r="F16" s="59"/>
      <c r="G16" s="59"/>
      <c r="H16" s="29" t="str">
        <f aca="false">IF(F16="","",F16*G16)</f>
        <v/>
      </c>
      <c r="I16" s="59"/>
      <c r="J16" s="29" t="str">
        <f aca="false">IF(H16="","",H16*前提!$B$11)</f>
        <v/>
      </c>
      <c r="K16" s="59"/>
      <c r="L16" s="59"/>
      <c r="M16" s="29" t="str">
        <f aca="false">IF(H16="","",H16*前提!$B$15)</f>
        <v/>
      </c>
      <c r="N16" s="59"/>
      <c r="O16" s="59"/>
      <c r="P16" s="59"/>
      <c r="Q16" s="59"/>
      <c r="R16" s="59"/>
      <c r="S16" s="59"/>
      <c r="T16" s="29" t="str">
        <f aca="false">IF(I16="","",I16*前提!$B$6)</f>
        <v/>
      </c>
      <c r="U16" s="29" t="str">
        <f aca="false">IF(H16="","",H16-N(I16)-N(J16)-N(K16)-N(L16)-N(M16)+N(T16))</f>
        <v/>
      </c>
      <c r="V16" s="30" t="str">
        <f aca="false">IF(OR(H16="",H16=0),"",U16/H16)</f>
        <v/>
      </c>
    </row>
    <row r="17" customFormat="false" ht="15" hidden="false" customHeight="true" outlineLevel="0" collapsed="false">
      <c r="A17" s="59"/>
      <c r="B17" s="59"/>
      <c r="C17" s="59"/>
      <c r="D17" s="59"/>
      <c r="E17" s="59"/>
      <c r="F17" s="59"/>
      <c r="G17" s="59"/>
      <c r="H17" s="29" t="str">
        <f aca="false">IF(F17="","",F17*G17)</f>
        <v/>
      </c>
      <c r="I17" s="59"/>
      <c r="J17" s="29" t="str">
        <f aca="false">IF(H17="","",H17*前提!$B$11)</f>
        <v/>
      </c>
      <c r="K17" s="59"/>
      <c r="L17" s="59"/>
      <c r="M17" s="29" t="str">
        <f aca="false">IF(H17="","",H17*前提!$B$15)</f>
        <v/>
      </c>
      <c r="N17" s="59"/>
      <c r="O17" s="59"/>
      <c r="P17" s="59"/>
      <c r="Q17" s="59"/>
      <c r="R17" s="59"/>
      <c r="S17" s="59"/>
      <c r="T17" s="29" t="str">
        <f aca="false">IF(I17="","",I17*前提!$B$6)</f>
        <v/>
      </c>
      <c r="U17" s="29" t="str">
        <f aca="false">IF(H17="","",H17-N(I17)-N(J17)-N(K17)-N(L17)-N(M17)+N(T17))</f>
        <v/>
      </c>
      <c r="V17" s="30" t="str">
        <f aca="false">IF(OR(H17="",H17=0),"",U17/H17)</f>
        <v/>
      </c>
    </row>
    <row r="18" customFormat="false" ht="15" hidden="false" customHeight="true" outlineLevel="0" collapsed="false">
      <c r="A18" s="59"/>
      <c r="B18" s="59"/>
      <c r="C18" s="59"/>
      <c r="D18" s="59"/>
      <c r="E18" s="59"/>
      <c r="F18" s="59"/>
      <c r="G18" s="59"/>
      <c r="H18" s="29" t="str">
        <f aca="false">IF(F18="","",F18*G18)</f>
        <v/>
      </c>
      <c r="I18" s="59"/>
      <c r="J18" s="29" t="str">
        <f aca="false">IF(H18="","",H18*前提!$B$11)</f>
        <v/>
      </c>
      <c r="K18" s="59"/>
      <c r="L18" s="59"/>
      <c r="M18" s="29" t="str">
        <f aca="false">IF(H18="","",H18*前提!$B$15)</f>
        <v/>
      </c>
      <c r="N18" s="59"/>
      <c r="O18" s="59"/>
      <c r="P18" s="59"/>
      <c r="Q18" s="59"/>
      <c r="R18" s="59"/>
      <c r="S18" s="59"/>
      <c r="T18" s="29" t="str">
        <f aca="false">IF(I18="","",I18*前提!$B$6)</f>
        <v/>
      </c>
      <c r="U18" s="29" t="str">
        <f aca="false">IF(H18="","",H18-N(I18)-N(J18)-N(K18)-N(L18)-N(M18)+N(T18))</f>
        <v/>
      </c>
      <c r="V18" s="30" t="str">
        <f aca="false">IF(OR(H18="",H18=0),"",U18/H18)</f>
        <v/>
      </c>
    </row>
    <row r="19" customFormat="false" ht="15" hidden="false" customHeight="true" outlineLevel="0" collapsed="false">
      <c r="A19" s="59"/>
      <c r="B19" s="59"/>
      <c r="C19" s="59"/>
      <c r="D19" s="59"/>
      <c r="E19" s="59"/>
      <c r="F19" s="59"/>
      <c r="G19" s="59"/>
      <c r="H19" s="29" t="str">
        <f aca="false">IF(F19="","",F19*G19)</f>
        <v/>
      </c>
      <c r="I19" s="59"/>
      <c r="J19" s="29" t="str">
        <f aca="false">IF(H19="","",H19*前提!$B$11)</f>
        <v/>
      </c>
      <c r="K19" s="59"/>
      <c r="L19" s="59"/>
      <c r="M19" s="29" t="str">
        <f aca="false">IF(H19="","",H19*前提!$B$15)</f>
        <v/>
      </c>
      <c r="N19" s="59"/>
      <c r="O19" s="59"/>
      <c r="P19" s="59"/>
      <c r="Q19" s="59"/>
      <c r="R19" s="59"/>
      <c r="S19" s="59"/>
      <c r="T19" s="29" t="str">
        <f aca="false">IF(I19="","",I19*前提!$B$6)</f>
        <v/>
      </c>
      <c r="U19" s="29" t="str">
        <f aca="false">IF(H19="","",H19-N(I19)-N(J19)-N(K19)-N(L19)-N(M19)+N(T19))</f>
        <v/>
      </c>
      <c r="V19" s="30" t="str">
        <f aca="false">IF(OR(H19="",H19=0),"",U19/H19)</f>
        <v/>
      </c>
    </row>
    <row r="20" customFormat="false" ht="15" hidden="false" customHeight="true" outlineLevel="0" collapsed="false">
      <c r="A20" s="59"/>
      <c r="B20" s="59"/>
      <c r="C20" s="59"/>
      <c r="D20" s="59"/>
      <c r="E20" s="59"/>
      <c r="F20" s="59"/>
      <c r="G20" s="59"/>
      <c r="H20" s="29" t="str">
        <f aca="false">IF(F20="","",F20*G20)</f>
        <v/>
      </c>
      <c r="I20" s="59"/>
      <c r="J20" s="29" t="str">
        <f aca="false">IF(H20="","",H20*前提!$B$11)</f>
        <v/>
      </c>
      <c r="K20" s="59"/>
      <c r="L20" s="59"/>
      <c r="M20" s="29" t="str">
        <f aca="false">IF(H20="","",H20*前提!$B$15)</f>
        <v/>
      </c>
      <c r="N20" s="59"/>
      <c r="O20" s="59"/>
      <c r="P20" s="59"/>
      <c r="Q20" s="59"/>
      <c r="R20" s="59"/>
      <c r="S20" s="59"/>
      <c r="T20" s="29" t="str">
        <f aca="false">IF(I20="","",I20*前提!$B$6)</f>
        <v/>
      </c>
      <c r="U20" s="29" t="str">
        <f aca="false">IF(H20="","",H20-N(I20)-N(J20)-N(K20)-N(L20)-N(M20)+N(T20))</f>
        <v/>
      </c>
      <c r="V20" s="30" t="str">
        <f aca="false">IF(OR(H20="",H20=0),"",U20/H20)</f>
        <v/>
      </c>
    </row>
    <row r="21" customFormat="false" ht="15" hidden="false" customHeight="true" outlineLevel="0" collapsed="false">
      <c r="A21" s="59"/>
      <c r="B21" s="59"/>
      <c r="C21" s="59"/>
      <c r="D21" s="59"/>
      <c r="E21" s="59"/>
      <c r="F21" s="59"/>
      <c r="G21" s="59"/>
      <c r="H21" s="29" t="str">
        <f aca="false">IF(F21="","",F21*G21)</f>
        <v/>
      </c>
      <c r="I21" s="59"/>
      <c r="J21" s="29" t="str">
        <f aca="false">IF(H21="","",H21*前提!$B$11)</f>
        <v/>
      </c>
      <c r="K21" s="59"/>
      <c r="L21" s="59"/>
      <c r="M21" s="29" t="str">
        <f aca="false">IF(H21="","",H21*前提!$B$15)</f>
        <v/>
      </c>
      <c r="N21" s="59"/>
      <c r="O21" s="59"/>
      <c r="P21" s="59"/>
      <c r="Q21" s="59"/>
      <c r="R21" s="59"/>
      <c r="S21" s="59"/>
      <c r="T21" s="29" t="str">
        <f aca="false">IF(I21="","",I21*前提!$B$6)</f>
        <v/>
      </c>
      <c r="U21" s="29" t="str">
        <f aca="false">IF(H21="","",H21-N(I21)-N(J21)-N(K21)-N(L21)-N(M21)+N(T21))</f>
        <v/>
      </c>
      <c r="V21" s="30" t="str">
        <f aca="false">IF(OR(H21="",H21=0),"",U21/H21)</f>
        <v/>
      </c>
    </row>
    <row r="22" customFormat="false" ht="15" hidden="false" customHeight="true" outlineLevel="0" collapsed="false">
      <c r="A22" s="59"/>
      <c r="B22" s="59"/>
      <c r="C22" s="59"/>
      <c r="D22" s="59"/>
      <c r="E22" s="59"/>
      <c r="F22" s="59"/>
      <c r="G22" s="59"/>
      <c r="H22" s="29" t="str">
        <f aca="false">IF(F22="","",F22*G22)</f>
        <v/>
      </c>
      <c r="I22" s="59"/>
      <c r="J22" s="29" t="str">
        <f aca="false">IF(H22="","",H22*前提!$B$11)</f>
        <v/>
      </c>
      <c r="K22" s="59"/>
      <c r="L22" s="59"/>
      <c r="M22" s="29" t="str">
        <f aca="false">IF(H22="","",H22*前提!$B$15)</f>
        <v/>
      </c>
      <c r="N22" s="59"/>
      <c r="O22" s="59"/>
      <c r="P22" s="59"/>
      <c r="Q22" s="59"/>
      <c r="R22" s="59"/>
      <c r="S22" s="59"/>
      <c r="T22" s="29" t="str">
        <f aca="false">IF(I22="","",I22*前提!$B$6)</f>
        <v/>
      </c>
      <c r="U22" s="29" t="str">
        <f aca="false">IF(H22="","",H22-N(I22)-N(J22)-N(K22)-N(L22)-N(M22)+N(T22))</f>
        <v/>
      </c>
      <c r="V22" s="30" t="str">
        <f aca="false">IF(OR(H22="",H22=0),"",U22/H22)</f>
        <v/>
      </c>
    </row>
    <row r="23" customFormat="false" ht="15" hidden="false" customHeight="true" outlineLevel="0" collapsed="false">
      <c r="A23" s="59"/>
      <c r="B23" s="59"/>
      <c r="C23" s="59"/>
      <c r="D23" s="59"/>
      <c r="E23" s="59"/>
      <c r="F23" s="59"/>
      <c r="G23" s="59"/>
      <c r="H23" s="29" t="str">
        <f aca="false">IF(F23="","",F23*G23)</f>
        <v/>
      </c>
      <c r="I23" s="59"/>
      <c r="J23" s="29" t="str">
        <f aca="false">IF(H23="","",H23*前提!$B$11)</f>
        <v/>
      </c>
      <c r="K23" s="59"/>
      <c r="L23" s="59"/>
      <c r="M23" s="29" t="str">
        <f aca="false">IF(H23="","",H23*前提!$B$15)</f>
        <v/>
      </c>
      <c r="N23" s="59"/>
      <c r="O23" s="59"/>
      <c r="P23" s="59"/>
      <c r="Q23" s="59"/>
      <c r="R23" s="59"/>
      <c r="S23" s="59"/>
      <c r="T23" s="29" t="str">
        <f aca="false">IF(I23="","",I23*前提!$B$6)</f>
        <v/>
      </c>
      <c r="U23" s="29" t="str">
        <f aca="false">IF(H23="","",H23-N(I23)-N(J23)-N(K23)-N(L23)-N(M23)+N(T23))</f>
        <v/>
      </c>
      <c r="V23" s="30" t="str">
        <f aca="false">IF(OR(H23="",H23=0),"",U23/H23)</f>
        <v/>
      </c>
    </row>
    <row r="24" customFormat="false" ht="15" hidden="false" customHeight="true" outlineLevel="0" collapsed="false">
      <c r="A24" s="59"/>
      <c r="B24" s="59"/>
      <c r="C24" s="59"/>
      <c r="D24" s="59"/>
      <c r="E24" s="59"/>
      <c r="F24" s="59"/>
      <c r="G24" s="59"/>
      <c r="H24" s="29" t="str">
        <f aca="false">IF(F24="","",F24*G24)</f>
        <v/>
      </c>
      <c r="I24" s="59"/>
      <c r="J24" s="29" t="str">
        <f aca="false">IF(H24="","",H24*前提!$B$11)</f>
        <v/>
      </c>
      <c r="K24" s="59"/>
      <c r="L24" s="59"/>
      <c r="M24" s="29" t="str">
        <f aca="false">IF(H24="","",H24*前提!$B$15)</f>
        <v/>
      </c>
      <c r="N24" s="59"/>
      <c r="O24" s="59"/>
      <c r="P24" s="59"/>
      <c r="Q24" s="59"/>
      <c r="R24" s="59"/>
      <c r="S24" s="59"/>
      <c r="T24" s="29" t="str">
        <f aca="false">IF(I24="","",I24*前提!$B$6)</f>
        <v/>
      </c>
      <c r="U24" s="29" t="str">
        <f aca="false">IF(H24="","",H24-N(I24)-N(J24)-N(K24)-N(L24)-N(M24)+N(T24))</f>
        <v/>
      </c>
      <c r="V24" s="30" t="str">
        <f aca="false">IF(OR(H24="",H24=0),"",U24/H24)</f>
        <v/>
      </c>
    </row>
    <row r="25" customFormat="false" ht="15" hidden="false" customHeight="true" outlineLevel="0" collapsed="false">
      <c r="A25" s="59"/>
      <c r="B25" s="59"/>
      <c r="C25" s="59"/>
      <c r="D25" s="59"/>
      <c r="E25" s="59"/>
      <c r="F25" s="59"/>
      <c r="G25" s="59"/>
      <c r="H25" s="29" t="str">
        <f aca="false">IF(F25="","",F25*G25)</f>
        <v/>
      </c>
      <c r="I25" s="59"/>
      <c r="J25" s="29" t="str">
        <f aca="false">IF(H25="","",H25*前提!$B$11)</f>
        <v/>
      </c>
      <c r="K25" s="59"/>
      <c r="L25" s="59"/>
      <c r="M25" s="29" t="str">
        <f aca="false">IF(H25="","",H25*前提!$B$15)</f>
        <v/>
      </c>
      <c r="N25" s="59"/>
      <c r="O25" s="59"/>
      <c r="P25" s="59"/>
      <c r="Q25" s="59"/>
      <c r="R25" s="59"/>
      <c r="S25" s="59"/>
      <c r="T25" s="29" t="str">
        <f aca="false">IF(I25="","",I25*前提!$B$6)</f>
        <v/>
      </c>
      <c r="U25" s="29" t="str">
        <f aca="false">IF(H25="","",H25-N(I25)-N(J25)-N(K25)-N(L25)-N(M25)+N(T25))</f>
        <v/>
      </c>
      <c r="V25" s="30" t="str">
        <f aca="false">IF(OR(H25="",H25=0),"",U25/H25)</f>
        <v/>
      </c>
    </row>
    <row r="26" customFormat="false" ht="15" hidden="false" customHeight="true" outlineLevel="0" collapsed="false">
      <c r="A26" s="59"/>
      <c r="B26" s="59"/>
      <c r="C26" s="59"/>
      <c r="D26" s="59"/>
      <c r="E26" s="59"/>
      <c r="F26" s="59"/>
      <c r="G26" s="59"/>
      <c r="H26" s="29" t="str">
        <f aca="false">IF(F26="","",F26*G26)</f>
        <v/>
      </c>
      <c r="I26" s="59"/>
      <c r="J26" s="29" t="str">
        <f aca="false">IF(H26="","",H26*前提!$B$11)</f>
        <v/>
      </c>
      <c r="K26" s="59"/>
      <c r="L26" s="59"/>
      <c r="M26" s="29" t="str">
        <f aca="false">IF(H26="","",H26*前提!$B$15)</f>
        <v/>
      </c>
      <c r="N26" s="59"/>
      <c r="O26" s="59"/>
      <c r="P26" s="59"/>
      <c r="Q26" s="59"/>
      <c r="R26" s="59"/>
      <c r="S26" s="59"/>
      <c r="T26" s="29" t="str">
        <f aca="false">IF(I26="","",I26*前提!$B$6)</f>
        <v/>
      </c>
      <c r="U26" s="29" t="str">
        <f aca="false">IF(H26="","",H26-N(I26)-N(J26)-N(K26)-N(L26)-N(M26)+N(T26))</f>
        <v/>
      </c>
      <c r="V26" s="30" t="str">
        <f aca="false">IF(OR(H26="",H26=0),"",U26/H26)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2026-08-06T23:55:26Z</dcterms:created>
  <dc:creator>openpyxl</dc:creator>
  <dc:description/>
  <dc:language>en-US</dc:language>
  <cp:lastModifiedBy/>
  <dcterms:modified xsi:type="dcterms:W3CDTF">2026-08-07T00:07:00Z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