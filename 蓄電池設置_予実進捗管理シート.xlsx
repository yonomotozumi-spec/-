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捗管理" sheetId="1" state="visible" r:id="rId1"/>
    <sheet name="ダッシュボード" sheetId="2" state="visible" r:id="rId2"/>
  </sheets>
  <definedNames>
    <definedName name="_xlnm._FilterDatabase" localSheetId="0" hidden="1">'進捗管理'!$A$2:$AC$42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7">
    <font>
      <name val="Calibri"/>
      <family val="2"/>
      <color theme="1"/>
      <sz val="11"/>
      <scheme val="minor"/>
    </font>
    <font>
      <name val="Meiryo"/>
      <b val="1"/>
      <color rgb="00FFFFFF"/>
      <sz val="15"/>
    </font>
    <font>
      <name val="Meiryo"/>
      <b val="1"/>
      <color rgb="00FFFFFF"/>
      <sz val="10"/>
    </font>
    <font>
      <name val="Meiryo"/>
      <color rgb="00C7D2E0"/>
      <sz val="9"/>
    </font>
    <font>
      <name val="Meiryo"/>
      <b val="1"/>
      <color rgb="001F2937"/>
      <sz val="9"/>
    </font>
    <font>
      <name val="Meiryo"/>
      <color rgb="001F2937"/>
      <sz val="10"/>
    </font>
    <font>
      <name val="Meiryo"/>
      <b val="1"/>
      <color rgb="001F2937"/>
      <sz val="10"/>
    </font>
    <font>
      <name val="Meiryo"/>
      <b val="1"/>
      <color rgb="001F2937"/>
      <sz val="14"/>
    </font>
    <font>
      <name val="Meiryo"/>
      <color rgb="006B7688"/>
      <sz val="10"/>
    </font>
    <font>
      <name val="Meiryo"/>
      <b val="1"/>
      <color rgb="002563EB"/>
      <sz val="22"/>
    </font>
    <font>
      <name val="Meiryo"/>
      <b val="1"/>
      <color rgb="001D4ED8"/>
      <sz val="22"/>
    </font>
    <font>
      <name val="Meiryo"/>
      <b val="1"/>
      <color rgb="00B91C1C"/>
      <sz val="22"/>
    </font>
    <font>
      <name val="Meiryo"/>
      <b val="1"/>
      <color rgb="0015803D"/>
      <sz val="22"/>
    </font>
    <font>
      <name val="Meiryo"/>
      <b val="1"/>
      <color rgb="0064748B"/>
      <sz val="22"/>
    </font>
    <font>
      <name val="Meiryo"/>
      <b val="1"/>
      <color rgb="002563EB"/>
      <sz val="14"/>
    </font>
    <font>
      <name val="Meiryo"/>
      <b val="1"/>
      <color rgb="001F2937"/>
      <sz val="11"/>
    </font>
    <font>
      <name val="Meiryo"/>
      <color rgb="00374151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F1F5F9"/>
      </patternFill>
    </fill>
    <fill>
      <patternFill patternType="solid">
        <fgColor rgb="00EAF1FB"/>
      </patternFill>
    </fill>
    <fill>
      <patternFill patternType="solid">
        <fgColor rgb="00EAF7EE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9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dxfs count="6">
    <dxf>
      <font>
        <name val="Meiryo"/>
        <b val="1"/>
        <color rgb="0015803D"/>
        <sz val="10"/>
      </font>
      <fill>
        <patternFill patternType="solid">
          <fgColor rgb="00DCFCE7"/>
        </patternFill>
      </fill>
    </dxf>
    <dxf>
      <font>
        <name val="Meiryo"/>
        <b val="1"/>
        <color rgb="00B91C1C"/>
        <sz val="10"/>
      </font>
      <fill>
        <patternFill patternType="solid">
          <fgColor rgb="00FDE2E2"/>
        </patternFill>
      </fill>
    </dxf>
    <dxf>
      <font>
        <name val="Meiryo"/>
        <b val="1"/>
        <color rgb="001D4ED8"/>
        <sz val="10"/>
      </font>
      <fill>
        <patternFill patternType="solid">
          <fgColor rgb="00E0EBFE"/>
        </patternFill>
      </fill>
    </dxf>
    <dxf>
      <font>
        <name val="Meiryo"/>
        <b val="1"/>
        <color rgb="0064748B"/>
        <sz val="10"/>
      </font>
      <fill>
        <patternFill patternType="solid">
          <fgColor rgb="00EEF1F6"/>
        </patternFill>
      </fill>
    </dxf>
    <dxf>
      <fill>
        <patternFill patternType="solid">
          <fgColor rgb="00FDE2E2"/>
        </patternFill>
      </fill>
    </dxf>
    <dxf>
      <fill>
        <patternFill patternType="solid">
          <fgColor rgb="00FE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26" customWidth="1" min="2" max="2"/>
    <col width="12" customWidth="1" min="3" max="3"/>
    <col width="7" customWidth="1" min="4" max="4"/>
    <col width="7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  <col width="6" customWidth="1" min="26" max="26"/>
    <col width="9" customWidth="1" min="27" max="27"/>
    <col width="11" customWidth="1" min="28" max="28"/>
    <col width="30" customWidth="1" min="29" max="29"/>
  </cols>
  <sheetData>
    <row r="1" ht="26" customHeight="1">
      <c r="A1" s="1" t="inlineStr">
        <is>
          <t>🔋 蓄電池設置 予実進捗管理シート</t>
        </is>
      </c>
      <c r="G1" s="2" t="inlineStr">
        <is>
          <t>予 定 日</t>
        </is>
      </c>
      <c r="P1" s="3" t="inlineStr">
        <is>
          <t>実 績 日</t>
        </is>
      </c>
      <c r="Y1" s="4" t="inlineStr">
        <is>
          <t>自動計算（数式）</t>
        </is>
      </c>
    </row>
    <row r="2" ht="40" customHeight="1">
      <c r="A2" s="5" t="inlineStr">
        <is>
          <t>No</t>
        </is>
      </c>
      <c r="B2" s="5" t="inlineStr">
        <is>
          <t>案件名</t>
        </is>
      </c>
      <c r="C2" s="5" t="inlineStr">
        <is>
          <t>顧客名</t>
        </is>
      </c>
      <c r="D2" s="5" t="inlineStr">
        <is>
          <t>担当</t>
        </is>
      </c>
      <c r="E2" s="5" t="inlineStr">
        <is>
          <t>容量
(kWh)</t>
        </is>
      </c>
      <c r="F2" s="5" t="inlineStr">
        <is>
          <t>受注日</t>
        </is>
      </c>
      <c r="G2" s="6" t="inlineStr">
        <is>
          <t>1. 受注・契約</t>
        </is>
      </c>
      <c r="H2" s="6" t="inlineStr">
        <is>
          <t>2. 現地調査</t>
        </is>
      </c>
      <c r="I2" s="6" t="inlineStr">
        <is>
          <t>3. 設計・図面</t>
        </is>
      </c>
      <c r="J2" s="6" t="inlineStr">
        <is>
          <t>4. 補助金申請</t>
        </is>
      </c>
      <c r="K2" s="6" t="inlineStr">
        <is>
          <t>5. 系統連系申請</t>
        </is>
      </c>
      <c r="L2" s="6" t="inlineStr">
        <is>
          <t>6. 機器発注・納品</t>
        </is>
      </c>
      <c r="M2" s="6" t="inlineStr">
        <is>
          <t>7. 設置工事</t>
        </is>
      </c>
      <c r="N2" s="6" t="inlineStr">
        <is>
          <t>8. 完了検査・連系</t>
        </is>
      </c>
      <c r="O2" s="6" t="inlineStr">
        <is>
          <t>9. 引渡し</t>
        </is>
      </c>
      <c r="P2" s="7" t="inlineStr">
        <is>
          <t>1. 受注・契約</t>
        </is>
      </c>
      <c r="Q2" s="7" t="inlineStr">
        <is>
          <t>2. 現地調査</t>
        </is>
      </c>
      <c r="R2" s="7" t="inlineStr">
        <is>
          <t>3. 設計・図面</t>
        </is>
      </c>
      <c r="S2" s="7" t="inlineStr">
        <is>
          <t>4. 補助金申請</t>
        </is>
      </c>
      <c r="T2" s="7" t="inlineStr">
        <is>
          <t>5. 系統連系申請</t>
        </is>
      </c>
      <c r="U2" s="7" t="inlineStr">
        <is>
          <t>6. 機器発注・納品</t>
        </is>
      </c>
      <c r="V2" s="7" t="inlineStr">
        <is>
          <t>7. 設置工事</t>
        </is>
      </c>
      <c r="W2" s="7" t="inlineStr">
        <is>
          <t>8. 完了検査・連系</t>
        </is>
      </c>
      <c r="X2" s="7" t="inlineStr">
        <is>
          <t>9. 引渡し</t>
        </is>
      </c>
      <c r="Y2" s="5" t="inlineStr">
        <is>
          <t>進捗率</t>
        </is>
      </c>
      <c r="Z2" s="5" t="inlineStr">
        <is>
          <t>遅延
工程</t>
        </is>
      </c>
      <c r="AA2" s="5" t="inlineStr">
        <is>
          <t>ステータス</t>
        </is>
      </c>
      <c r="AB2" s="5" t="inlineStr">
        <is>
          <t>次の期限</t>
        </is>
      </c>
      <c r="AC2" s="5" t="inlineStr">
        <is>
          <t>メモ / 備考</t>
        </is>
      </c>
    </row>
    <row r="3" ht="20" customHeight="1">
      <c r="A3" s="8" t="n">
        <v>1</v>
      </c>
      <c r="B3" s="9" t="inlineStr">
        <is>
          <t>サンプル：〇〇邸 蓄電池設置工事</t>
        </is>
      </c>
      <c r="C3" s="9" t="inlineStr">
        <is>
          <t>山田 太郎</t>
        </is>
      </c>
      <c r="D3" s="9" t="inlineStr">
        <is>
          <t>鈴木</t>
        </is>
      </c>
      <c r="E3" s="8" t="n">
        <v>9.800000000000001</v>
      </c>
      <c r="F3" s="10" t="n">
        <v>46185</v>
      </c>
      <c r="G3" s="11" t="n">
        <v>46190</v>
      </c>
      <c r="H3" s="11" t="n">
        <v>46195</v>
      </c>
      <c r="I3" s="11" t="n">
        <v>46200</v>
      </c>
      <c r="J3" s="11" t="n">
        <v>46205</v>
      </c>
      <c r="K3" s="11" t="n">
        <v>46210</v>
      </c>
      <c r="L3" s="11" t="n">
        <v>46215</v>
      </c>
      <c r="M3" s="11" t="n">
        <v>46220</v>
      </c>
      <c r="N3" s="11" t="n">
        <v>46225</v>
      </c>
      <c r="O3" s="11" t="n">
        <v>46230</v>
      </c>
      <c r="P3" s="12" t="n">
        <v>46191</v>
      </c>
      <c r="Q3" s="12" t="n">
        <v>46196</v>
      </c>
      <c r="R3" s="12" t="n">
        <v>46201</v>
      </c>
      <c r="S3" s="12" t="n">
        <v>46206</v>
      </c>
      <c r="T3" s="12" t="n"/>
      <c r="U3" s="12" t="n"/>
      <c r="V3" s="12" t="n"/>
      <c r="W3" s="12" t="n"/>
      <c r="X3" s="12" t="n"/>
      <c r="Y3" s="13">
        <f>IF($B3="","",COUNT(P3:X3)/9)</f>
        <v/>
      </c>
      <c r="Z3" s="8">
        <f>IF($B3="","",SUMPRODUCT((P3:X3="")*(G3:O3&gt;0)*(G3:O3&lt;TODAY())))</f>
        <v/>
      </c>
      <c r="AA3" s="14">
        <f>IF($B3="","",IF(Y3=1,"完了",IF(Z3&gt;0,"遅延",IF(COUNT(G3:O3,P3:X3)&gt;0,"進行中","未着手"))))</f>
        <v/>
      </c>
      <c r="AB3" s="10">
        <f>IF(OR($B3="",SUMPRODUCT((P3:X3="")*(G3:O3&gt;0))=0),"",AGGREGATE(15,6,G3:O3/((P3:X3="")*(G3:O3&gt;0)),1))</f>
        <v/>
      </c>
      <c r="AC3" s="9" t="inlineStr">
        <is>
          <t>サンプルデータ。不要なら行を削除してください</t>
        </is>
      </c>
    </row>
    <row r="4" ht="20" customHeight="1">
      <c r="A4" s="8" t="n">
        <v>2</v>
      </c>
      <c r="B4" s="9" t="inlineStr">
        <is>
          <t>サンプル：△△マンション 共用部</t>
        </is>
      </c>
      <c r="C4" s="9" t="inlineStr">
        <is>
          <t>□□管理組合</t>
        </is>
      </c>
      <c r="D4" s="9" t="inlineStr">
        <is>
          <t>佐藤</t>
        </is>
      </c>
      <c r="E4" s="8" t="n">
        <v>16.4</v>
      </c>
      <c r="F4" s="10" t="n">
        <v>46205</v>
      </c>
      <c r="G4" s="11" t="n">
        <v>46207</v>
      </c>
      <c r="H4" s="11" t="n">
        <v>46213</v>
      </c>
      <c r="I4" s="11" t="n">
        <v>46219</v>
      </c>
      <c r="J4" s="11" t="n">
        <v>46225</v>
      </c>
      <c r="K4" s="11" t="n">
        <v>46231</v>
      </c>
      <c r="L4" s="11" t="n">
        <v>46237</v>
      </c>
      <c r="M4" s="11" t="n">
        <v>46243</v>
      </c>
      <c r="N4" s="11" t="n">
        <v>46249</v>
      </c>
      <c r="O4" s="11" t="n">
        <v>46255</v>
      </c>
      <c r="P4" s="12" t="n">
        <v>46208</v>
      </c>
      <c r="Q4" s="12" t="n">
        <v>46214</v>
      </c>
      <c r="R4" s="12" t="n"/>
      <c r="S4" s="12" t="n"/>
      <c r="T4" s="12" t="n"/>
      <c r="U4" s="12" t="n"/>
      <c r="V4" s="12" t="n"/>
      <c r="W4" s="12" t="n"/>
      <c r="X4" s="12" t="n"/>
      <c r="Y4" s="13">
        <f>IF($B4="","",COUNT(P4:X4)/9)</f>
        <v/>
      </c>
      <c r="Z4" s="8">
        <f>IF($B4="","",SUMPRODUCT((P4:X4="")*(G4:O4&gt;0)*(G4:O4&lt;TODAY())))</f>
        <v/>
      </c>
      <c r="AA4" s="14">
        <f>IF($B4="","",IF(Y4=1,"完了",IF(Z4&gt;0,"遅延",IF(COUNT(G4:O4,P4:X4)&gt;0,"進行中","未着手"))))</f>
        <v/>
      </c>
      <c r="AB4" s="10">
        <f>IF(OR($B4="",SUMPRODUCT((P4:X4="")*(G4:O4&gt;0))=0),"",AGGREGATE(15,6,G4:O4/((P4:X4="")*(G4:O4&gt;0)),1))</f>
        <v/>
      </c>
      <c r="AC4" s="9" t="inlineStr">
        <is>
          <t>補助金：DR補助金 申請予定</t>
        </is>
      </c>
    </row>
    <row r="5" ht="20" customHeight="1">
      <c r="A5" s="8" t="n">
        <v>3</v>
      </c>
      <c r="B5" s="9" t="n"/>
      <c r="C5" s="9" t="n"/>
      <c r="D5" s="9" t="n"/>
      <c r="E5" s="8" t="n"/>
      <c r="F5" s="10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3">
        <f>IF($B5="","",COUNT(P5:X5)/9)</f>
        <v/>
      </c>
      <c r="Z5" s="8">
        <f>IF($B5="","",SUMPRODUCT((P5:X5="")*(G5:O5&gt;0)*(G5:O5&lt;TODAY())))</f>
        <v/>
      </c>
      <c r="AA5" s="14">
        <f>IF($B5="","",IF(Y5=1,"完了",IF(Z5&gt;0,"遅延",IF(COUNT(G5:O5,P5:X5)&gt;0,"進行中","未着手"))))</f>
        <v/>
      </c>
      <c r="AB5" s="10">
        <f>IF(OR($B5="",SUMPRODUCT((P5:X5="")*(G5:O5&gt;0))=0),"",AGGREGATE(15,6,G5:O5/((P5:X5="")*(G5:O5&gt;0)),1))</f>
        <v/>
      </c>
      <c r="AC5" s="9" t="n"/>
    </row>
    <row r="6" ht="20" customHeight="1">
      <c r="A6" s="8" t="n">
        <v>4</v>
      </c>
      <c r="B6" s="9" t="n"/>
      <c r="C6" s="9" t="n"/>
      <c r="D6" s="9" t="n"/>
      <c r="E6" s="8" t="n"/>
      <c r="F6" s="10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3">
        <f>IF($B6="","",COUNT(P6:X6)/9)</f>
        <v/>
      </c>
      <c r="Z6" s="8">
        <f>IF($B6="","",SUMPRODUCT((P6:X6="")*(G6:O6&gt;0)*(G6:O6&lt;TODAY())))</f>
        <v/>
      </c>
      <c r="AA6" s="14">
        <f>IF($B6="","",IF(Y6=1,"完了",IF(Z6&gt;0,"遅延",IF(COUNT(G6:O6,P6:X6)&gt;0,"進行中","未着手"))))</f>
        <v/>
      </c>
      <c r="AB6" s="10">
        <f>IF(OR($B6="",SUMPRODUCT((P6:X6="")*(G6:O6&gt;0))=0),"",AGGREGATE(15,6,G6:O6/((P6:X6="")*(G6:O6&gt;0)),1))</f>
        <v/>
      </c>
      <c r="AC6" s="9" t="n"/>
    </row>
    <row r="7" ht="20" customHeight="1">
      <c r="A7" s="8" t="n">
        <v>5</v>
      </c>
      <c r="B7" s="9" t="n"/>
      <c r="C7" s="9" t="n"/>
      <c r="D7" s="9" t="n"/>
      <c r="E7" s="8" t="n"/>
      <c r="F7" s="10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3">
        <f>IF($B7="","",COUNT(P7:X7)/9)</f>
        <v/>
      </c>
      <c r="Z7" s="8">
        <f>IF($B7="","",SUMPRODUCT((P7:X7="")*(G7:O7&gt;0)*(G7:O7&lt;TODAY())))</f>
        <v/>
      </c>
      <c r="AA7" s="14">
        <f>IF($B7="","",IF(Y7=1,"完了",IF(Z7&gt;0,"遅延",IF(COUNT(G7:O7,P7:X7)&gt;0,"進行中","未着手"))))</f>
        <v/>
      </c>
      <c r="AB7" s="10">
        <f>IF(OR($B7="",SUMPRODUCT((P7:X7="")*(G7:O7&gt;0))=0),"",AGGREGATE(15,6,G7:O7/((P7:X7="")*(G7:O7&gt;0)),1))</f>
        <v/>
      </c>
      <c r="AC7" s="9" t="n"/>
    </row>
    <row r="8" ht="20" customHeight="1">
      <c r="A8" s="8" t="n">
        <v>6</v>
      </c>
      <c r="B8" s="9" t="n"/>
      <c r="C8" s="9" t="n"/>
      <c r="D8" s="9" t="n"/>
      <c r="E8" s="8" t="n"/>
      <c r="F8" s="10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3">
        <f>IF($B8="","",COUNT(P8:X8)/9)</f>
        <v/>
      </c>
      <c r="Z8" s="8">
        <f>IF($B8="","",SUMPRODUCT((P8:X8="")*(G8:O8&gt;0)*(G8:O8&lt;TODAY())))</f>
        <v/>
      </c>
      <c r="AA8" s="14">
        <f>IF($B8="","",IF(Y8=1,"完了",IF(Z8&gt;0,"遅延",IF(COUNT(G8:O8,P8:X8)&gt;0,"進行中","未着手"))))</f>
        <v/>
      </c>
      <c r="AB8" s="10">
        <f>IF(OR($B8="",SUMPRODUCT((P8:X8="")*(G8:O8&gt;0))=0),"",AGGREGATE(15,6,G8:O8/((P8:X8="")*(G8:O8&gt;0)),1))</f>
        <v/>
      </c>
      <c r="AC8" s="9" t="n"/>
    </row>
    <row r="9" ht="20" customHeight="1">
      <c r="A9" s="8" t="n">
        <v>7</v>
      </c>
      <c r="B9" s="9" t="n"/>
      <c r="C9" s="9" t="n"/>
      <c r="D9" s="9" t="n"/>
      <c r="E9" s="8" t="n"/>
      <c r="F9" s="10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3">
        <f>IF($B9="","",COUNT(P9:X9)/9)</f>
        <v/>
      </c>
      <c r="Z9" s="8">
        <f>IF($B9="","",SUMPRODUCT((P9:X9="")*(G9:O9&gt;0)*(G9:O9&lt;TODAY())))</f>
        <v/>
      </c>
      <c r="AA9" s="14">
        <f>IF($B9="","",IF(Y9=1,"完了",IF(Z9&gt;0,"遅延",IF(COUNT(G9:O9,P9:X9)&gt;0,"進行中","未着手"))))</f>
        <v/>
      </c>
      <c r="AB9" s="10">
        <f>IF(OR($B9="",SUMPRODUCT((P9:X9="")*(G9:O9&gt;0))=0),"",AGGREGATE(15,6,G9:O9/((P9:X9="")*(G9:O9&gt;0)),1))</f>
        <v/>
      </c>
      <c r="AC9" s="9" t="n"/>
    </row>
    <row r="10" ht="20" customHeight="1">
      <c r="A10" s="8" t="n">
        <v>8</v>
      </c>
      <c r="B10" s="9" t="n"/>
      <c r="C10" s="9" t="n"/>
      <c r="D10" s="9" t="n"/>
      <c r="E10" s="8" t="n"/>
      <c r="F10" s="10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3">
        <f>IF($B10="","",COUNT(P10:X10)/9)</f>
        <v/>
      </c>
      <c r="Z10" s="8">
        <f>IF($B10="","",SUMPRODUCT((P10:X10="")*(G10:O10&gt;0)*(G10:O10&lt;TODAY())))</f>
        <v/>
      </c>
      <c r="AA10" s="14">
        <f>IF($B10="","",IF(Y10=1,"完了",IF(Z10&gt;0,"遅延",IF(COUNT(G10:O10,P10:X10)&gt;0,"進行中","未着手"))))</f>
        <v/>
      </c>
      <c r="AB10" s="10">
        <f>IF(OR($B10="",SUMPRODUCT((P10:X10="")*(G10:O10&gt;0))=0),"",AGGREGATE(15,6,G10:O10/((P10:X10="")*(G10:O10&gt;0)),1))</f>
        <v/>
      </c>
      <c r="AC10" s="9" t="n"/>
    </row>
    <row r="11" ht="20" customHeight="1">
      <c r="A11" s="8" t="n">
        <v>9</v>
      </c>
      <c r="B11" s="9" t="n"/>
      <c r="C11" s="9" t="n"/>
      <c r="D11" s="9" t="n"/>
      <c r="E11" s="8" t="n"/>
      <c r="F11" s="10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3">
        <f>IF($B11="","",COUNT(P11:X11)/9)</f>
        <v/>
      </c>
      <c r="Z11" s="8">
        <f>IF($B11="","",SUMPRODUCT((P11:X11="")*(G11:O11&gt;0)*(G11:O11&lt;TODAY())))</f>
        <v/>
      </c>
      <c r="AA11" s="14">
        <f>IF($B11="","",IF(Y11=1,"完了",IF(Z11&gt;0,"遅延",IF(COUNT(G11:O11,P11:X11)&gt;0,"進行中","未着手"))))</f>
        <v/>
      </c>
      <c r="AB11" s="10">
        <f>IF(OR($B11="",SUMPRODUCT((P11:X11="")*(G11:O11&gt;0))=0),"",AGGREGATE(15,6,G11:O11/((P11:X11="")*(G11:O11&gt;0)),1))</f>
        <v/>
      </c>
      <c r="AC11" s="9" t="n"/>
    </row>
    <row r="12" ht="20" customHeight="1">
      <c r="A12" s="8" t="n">
        <v>10</v>
      </c>
      <c r="B12" s="9" t="n"/>
      <c r="C12" s="9" t="n"/>
      <c r="D12" s="9" t="n"/>
      <c r="E12" s="8" t="n"/>
      <c r="F12" s="10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3">
        <f>IF($B12="","",COUNT(P12:X12)/9)</f>
        <v/>
      </c>
      <c r="Z12" s="8">
        <f>IF($B12="","",SUMPRODUCT((P12:X12="")*(G12:O12&gt;0)*(G12:O12&lt;TODAY())))</f>
        <v/>
      </c>
      <c r="AA12" s="14">
        <f>IF($B12="","",IF(Y12=1,"完了",IF(Z12&gt;0,"遅延",IF(COUNT(G12:O12,P12:X12)&gt;0,"進行中","未着手"))))</f>
        <v/>
      </c>
      <c r="AB12" s="10">
        <f>IF(OR($B12="",SUMPRODUCT((P12:X12="")*(G12:O12&gt;0))=0),"",AGGREGATE(15,6,G12:O12/((P12:X12="")*(G12:O12&gt;0)),1))</f>
        <v/>
      </c>
      <c r="AC12" s="9" t="n"/>
    </row>
    <row r="13" ht="20" customHeight="1">
      <c r="A13" s="8" t="n">
        <v>11</v>
      </c>
      <c r="B13" s="9" t="n"/>
      <c r="C13" s="9" t="n"/>
      <c r="D13" s="9" t="n"/>
      <c r="E13" s="8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>
        <f>IF($B13="","",COUNT(P13:X13)/9)</f>
        <v/>
      </c>
      <c r="Z13" s="8">
        <f>IF($B13="","",SUMPRODUCT((P13:X13="")*(G13:O13&gt;0)*(G13:O13&lt;TODAY())))</f>
        <v/>
      </c>
      <c r="AA13" s="14">
        <f>IF($B13="","",IF(Y13=1,"完了",IF(Z13&gt;0,"遅延",IF(COUNT(G13:O13,P13:X13)&gt;0,"進行中","未着手"))))</f>
        <v/>
      </c>
      <c r="AB13" s="10">
        <f>IF(OR($B13="",SUMPRODUCT((P13:X13="")*(G13:O13&gt;0))=0),"",AGGREGATE(15,6,G13:O13/((P13:X13="")*(G13:O13&gt;0)),1))</f>
        <v/>
      </c>
      <c r="AC13" s="9" t="n"/>
    </row>
    <row r="14" ht="20" customHeight="1">
      <c r="A14" s="8" t="n">
        <v>12</v>
      </c>
      <c r="B14" s="9" t="n"/>
      <c r="C14" s="9" t="n"/>
      <c r="D14" s="9" t="n"/>
      <c r="E14" s="8" t="n"/>
      <c r="F14" s="10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3">
        <f>IF($B14="","",COUNT(P14:X14)/9)</f>
        <v/>
      </c>
      <c r="Z14" s="8">
        <f>IF($B14="","",SUMPRODUCT((P14:X14="")*(G14:O14&gt;0)*(G14:O14&lt;TODAY())))</f>
        <v/>
      </c>
      <c r="AA14" s="14">
        <f>IF($B14="","",IF(Y14=1,"完了",IF(Z14&gt;0,"遅延",IF(COUNT(G14:O14,P14:X14)&gt;0,"進行中","未着手"))))</f>
        <v/>
      </c>
      <c r="AB14" s="10">
        <f>IF(OR($B14="",SUMPRODUCT((P14:X14="")*(G14:O14&gt;0))=0),"",AGGREGATE(15,6,G14:O14/((P14:X14="")*(G14:O14&gt;0)),1))</f>
        <v/>
      </c>
      <c r="AC14" s="9" t="n"/>
    </row>
    <row r="15" ht="20" customHeight="1">
      <c r="A15" s="8" t="n">
        <v>13</v>
      </c>
      <c r="B15" s="9" t="n"/>
      <c r="C15" s="9" t="n"/>
      <c r="D15" s="9" t="n"/>
      <c r="E15" s="8" t="n"/>
      <c r="F15" s="10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3">
        <f>IF($B15="","",COUNT(P15:X15)/9)</f>
        <v/>
      </c>
      <c r="Z15" s="8">
        <f>IF($B15="","",SUMPRODUCT((P15:X15="")*(G15:O15&gt;0)*(G15:O15&lt;TODAY())))</f>
        <v/>
      </c>
      <c r="AA15" s="14">
        <f>IF($B15="","",IF(Y15=1,"完了",IF(Z15&gt;0,"遅延",IF(COUNT(G15:O15,P15:X15)&gt;0,"進行中","未着手"))))</f>
        <v/>
      </c>
      <c r="AB15" s="10">
        <f>IF(OR($B15="",SUMPRODUCT((P15:X15="")*(G15:O15&gt;0))=0),"",AGGREGATE(15,6,G15:O15/((P15:X15="")*(G15:O15&gt;0)),1))</f>
        <v/>
      </c>
      <c r="AC15" s="9" t="n"/>
    </row>
    <row r="16" ht="20" customHeight="1">
      <c r="A16" s="8" t="n">
        <v>14</v>
      </c>
      <c r="B16" s="9" t="n"/>
      <c r="C16" s="9" t="n"/>
      <c r="D16" s="9" t="n"/>
      <c r="E16" s="8" t="n"/>
      <c r="F16" s="10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3">
        <f>IF($B16="","",COUNT(P16:X16)/9)</f>
        <v/>
      </c>
      <c r="Z16" s="8">
        <f>IF($B16="","",SUMPRODUCT((P16:X16="")*(G16:O16&gt;0)*(G16:O16&lt;TODAY())))</f>
        <v/>
      </c>
      <c r="AA16" s="14">
        <f>IF($B16="","",IF(Y16=1,"完了",IF(Z16&gt;0,"遅延",IF(COUNT(G16:O16,P16:X16)&gt;0,"進行中","未着手"))))</f>
        <v/>
      </c>
      <c r="AB16" s="10">
        <f>IF(OR($B16="",SUMPRODUCT((P16:X16="")*(G16:O16&gt;0))=0),"",AGGREGATE(15,6,G16:O16/((P16:X16="")*(G16:O16&gt;0)),1))</f>
        <v/>
      </c>
      <c r="AC16" s="9" t="n"/>
    </row>
    <row r="17" ht="20" customHeight="1">
      <c r="A17" s="8" t="n">
        <v>15</v>
      </c>
      <c r="B17" s="9" t="n"/>
      <c r="C17" s="9" t="n"/>
      <c r="D17" s="9" t="n"/>
      <c r="E17" s="8" t="n"/>
      <c r="F17" s="10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3">
        <f>IF($B17="","",COUNT(P17:X17)/9)</f>
        <v/>
      </c>
      <c r="Z17" s="8">
        <f>IF($B17="","",SUMPRODUCT((P17:X17="")*(G17:O17&gt;0)*(G17:O17&lt;TODAY())))</f>
        <v/>
      </c>
      <c r="AA17" s="14">
        <f>IF($B17="","",IF(Y17=1,"完了",IF(Z17&gt;0,"遅延",IF(COUNT(G17:O17,P17:X17)&gt;0,"進行中","未着手"))))</f>
        <v/>
      </c>
      <c r="AB17" s="10">
        <f>IF(OR($B17="",SUMPRODUCT((P17:X17="")*(G17:O17&gt;0))=0),"",AGGREGATE(15,6,G17:O17/((P17:X17="")*(G17:O17&gt;0)),1))</f>
        <v/>
      </c>
      <c r="AC17" s="9" t="n"/>
    </row>
    <row r="18" ht="20" customHeight="1">
      <c r="A18" s="8" t="n">
        <v>16</v>
      </c>
      <c r="B18" s="9" t="n"/>
      <c r="C18" s="9" t="n"/>
      <c r="D18" s="9" t="n"/>
      <c r="E18" s="8" t="n"/>
      <c r="F18" s="10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3">
        <f>IF($B18="","",COUNT(P18:X18)/9)</f>
        <v/>
      </c>
      <c r="Z18" s="8">
        <f>IF($B18="","",SUMPRODUCT((P18:X18="")*(G18:O18&gt;0)*(G18:O18&lt;TODAY())))</f>
        <v/>
      </c>
      <c r="AA18" s="14">
        <f>IF($B18="","",IF(Y18=1,"完了",IF(Z18&gt;0,"遅延",IF(COUNT(G18:O18,P18:X18)&gt;0,"進行中","未着手"))))</f>
        <v/>
      </c>
      <c r="AB18" s="10">
        <f>IF(OR($B18="",SUMPRODUCT((P18:X18="")*(G18:O18&gt;0))=0),"",AGGREGATE(15,6,G18:O18/((P18:X18="")*(G18:O18&gt;0)),1))</f>
        <v/>
      </c>
      <c r="AC18" s="9" t="n"/>
    </row>
    <row r="19" ht="20" customHeight="1">
      <c r="A19" s="8" t="n">
        <v>17</v>
      </c>
      <c r="B19" s="9" t="n"/>
      <c r="C19" s="9" t="n"/>
      <c r="D19" s="9" t="n"/>
      <c r="E19" s="8" t="n"/>
      <c r="F19" s="10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3">
        <f>IF($B19="","",COUNT(P19:X19)/9)</f>
        <v/>
      </c>
      <c r="Z19" s="8">
        <f>IF($B19="","",SUMPRODUCT((P19:X19="")*(G19:O19&gt;0)*(G19:O19&lt;TODAY())))</f>
        <v/>
      </c>
      <c r="AA19" s="14">
        <f>IF($B19="","",IF(Y19=1,"完了",IF(Z19&gt;0,"遅延",IF(COUNT(G19:O19,P19:X19)&gt;0,"進行中","未着手"))))</f>
        <v/>
      </c>
      <c r="AB19" s="10">
        <f>IF(OR($B19="",SUMPRODUCT((P19:X19="")*(G19:O19&gt;0))=0),"",AGGREGATE(15,6,G19:O19/((P19:X19="")*(G19:O19&gt;0)),1))</f>
        <v/>
      </c>
      <c r="AC19" s="9" t="n"/>
    </row>
    <row r="20" ht="20" customHeight="1">
      <c r="A20" s="8" t="n">
        <v>18</v>
      </c>
      <c r="B20" s="9" t="n"/>
      <c r="C20" s="9" t="n"/>
      <c r="D20" s="9" t="n"/>
      <c r="E20" s="8" t="n"/>
      <c r="F20" s="10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3">
        <f>IF($B20="","",COUNT(P20:X20)/9)</f>
        <v/>
      </c>
      <c r="Z20" s="8">
        <f>IF($B20="","",SUMPRODUCT((P20:X20="")*(G20:O20&gt;0)*(G20:O20&lt;TODAY())))</f>
        <v/>
      </c>
      <c r="AA20" s="14">
        <f>IF($B20="","",IF(Y20=1,"完了",IF(Z20&gt;0,"遅延",IF(COUNT(G20:O20,P20:X20)&gt;0,"進行中","未着手"))))</f>
        <v/>
      </c>
      <c r="AB20" s="10">
        <f>IF(OR($B20="",SUMPRODUCT((P20:X20="")*(G20:O20&gt;0))=0),"",AGGREGATE(15,6,G20:O20/((P20:X20="")*(G20:O20&gt;0)),1))</f>
        <v/>
      </c>
      <c r="AC20" s="9" t="n"/>
    </row>
    <row r="21" ht="20" customHeight="1">
      <c r="A21" s="8" t="n">
        <v>19</v>
      </c>
      <c r="B21" s="9" t="n"/>
      <c r="C21" s="9" t="n"/>
      <c r="D21" s="9" t="n"/>
      <c r="E21" s="8" t="n"/>
      <c r="F21" s="10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3">
        <f>IF($B21="","",COUNT(P21:X21)/9)</f>
        <v/>
      </c>
      <c r="Z21" s="8">
        <f>IF($B21="","",SUMPRODUCT((P21:X21="")*(G21:O21&gt;0)*(G21:O21&lt;TODAY())))</f>
        <v/>
      </c>
      <c r="AA21" s="14">
        <f>IF($B21="","",IF(Y21=1,"完了",IF(Z21&gt;0,"遅延",IF(COUNT(G21:O21,P21:X21)&gt;0,"進行中","未着手"))))</f>
        <v/>
      </c>
      <c r="AB21" s="10">
        <f>IF(OR($B21="",SUMPRODUCT((P21:X21="")*(G21:O21&gt;0))=0),"",AGGREGATE(15,6,G21:O21/((P21:X21="")*(G21:O21&gt;0)),1))</f>
        <v/>
      </c>
      <c r="AC21" s="9" t="n"/>
    </row>
    <row r="22" ht="20" customHeight="1">
      <c r="A22" s="8" t="n">
        <v>20</v>
      </c>
      <c r="B22" s="9" t="n"/>
      <c r="C22" s="9" t="n"/>
      <c r="D22" s="9" t="n"/>
      <c r="E22" s="8" t="n"/>
      <c r="F22" s="10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3">
        <f>IF($B22="","",COUNT(P22:X22)/9)</f>
        <v/>
      </c>
      <c r="Z22" s="8">
        <f>IF($B22="","",SUMPRODUCT((P22:X22="")*(G22:O22&gt;0)*(G22:O22&lt;TODAY())))</f>
        <v/>
      </c>
      <c r="AA22" s="14">
        <f>IF($B22="","",IF(Y22=1,"完了",IF(Z22&gt;0,"遅延",IF(COUNT(G22:O22,P22:X22)&gt;0,"進行中","未着手"))))</f>
        <v/>
      </c>
      <c r="AB22" s="10">
        <f>IF(OR($B22="",SUMPRODUCT((P22:X22="")*(G22:O22&gt;0))=0),"",AGGREGATE(15,6,G22:O22/((P22:X22="")*(G22:O22&gt;0)),1))</f>
        <v/>
      </c>
      <c r="AC22" s="9" t="n"/>
    </row>
    <row r="23" ht="20" customHeight="1">
      <c r="A23" s="8" t="n">
        <v>21</v>
      </c>
      <c r="B23" s="9" t="n"/>
      <c r="C23" s="9" t="n"/>
      <c r="D23" s="9" t="n"/>
      <c r="E23" s="8" t="n"/>
      <c r="F23" s="10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3">
        <f>IF($B23="","",COUNT(P23:X23)/9)</f>
        <v/>
      </c>
      <c r="Z23" s="8">
        <f>IF($B23="","",SUMPRODUCT((P23:X23="")*(G23:O23&gt;0)*(G23:O23&lt;TODAY())))</f>
        <v/>
      </c>
      <c r="AA23" s="14">
        <f>IF($B23="","",IF(Y23=1,"完了",IF(Z23&gt;0,"遅延",IF(COUNT(G23:O23,P23:X23)&gt;0,"進行中","未着手"))))</f>
        <v/>
      </c>
      <c r="AB23" s="10">
        <f>IF(OR($B23="",SUMPRODUCT((P23:X23="")*(G23:O23&gt;0))=0),"",AGGREGATE(15,6,G23:O23/((P23:X23="")*(G23:O23&gt;0)),1))</f>
        <v/>
      </c>
      <c r="AC23" s="9" t="n"/>
    </row>
    <row r="24" ht="20" customHeight="1">
      <c r="A24" s="8" t="n">
        <v>22</v>
      </c>
      <c r="B24" s="9" t="n"/>
      <c r="C24" s="9" t="n"/>
      <c r="D24" s="9" t="n"/>
      <c r="E24" s="8" t="n"/>
      <c r="F24" s="10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3">
        <f>IF($B24="","",COUNT(P24:X24)/9)</f>
        <v/>
      </c>
      <c r="Z24" s="8">
        <f>IF($B24="","",SUMPRODUCT((P24:X24="")*(G24:O24&gt;0)*(G24:O24&lt;TODAY())))</f>
        <v/>
      </c>
      <c r="AA24" s="14">
        <f>IF($B24="","",IF(Y24=1,"完了",IF(Z24&gt;0,"遅延",IF(COUNT(G24:O24,P24:X24)&gt;0,"進行中","未着手"))))</f>
        <v/>
      </c>
      <c r="AB24" s="10">
        <f>IF(OR($B24="",SUMPRODUCT((P24:X24="")*(G24:O24&gt;0))=0),"",AGGREGATE(15,6,G24:O24/((P24:X24="")*(G24:O24&gt;0)),1))</f>
        <v/>
      </c>
      <c r="AC24" s="9" t="n"/>
    </row>
    <row r="25" ht="20" customHeight="1">
      <c r="A25" s="8" t="n">
        <v>23</v>
      </c>
      <c r="B25" s="9" t="n"/>
      <c r="C25" s="9" t="n"/>
      <c r="D25" s="9" t="n"/>
      <c r="E25" s="8" t="n"/>
      <c r="F25" s="10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3">
        <f>IF($B25="","",COUNT(P25:X25)/9)</f>
        <v/>
      </c>
      <c r="Z25" s="8">
        <f>IF($B25="","",SUMPRODUCT((P25:X25="")*(G25:O25&gt;0)*(G25:O25&lt;TODAY())))</f>
        <v/>
      </c>
      <c r="AA25" s="14">
        <f>IF($B25="","",IF(Y25=1,"完了",IF(Z25&gt;0,"遅延",IF(COUNT(G25:O25,P25:X25)&gt;0,"進行中","未着手"))))</f>
        <v/>
      </c>
      <c r="AB25" s="10">
        <f>IF(OR($B25="",SUMPRODUCT((P25:X25="")*(G25:O25&gt;0))=0),"",AGGREGATE(15,6,G25:O25/((P25:X25="")*(G25:O25&gt;0)),1))</f>
        <v/>
      </c>
      <c r="AC25" s="9" t="n"/>
    </row>
    <row r="26" ht="20" customHeight="1">
      <c r="A26" s="8" t="n">
        <v>24</v>
      </c>
      <c r="B26" s="9" t="n"/>
      <c r="C26" s="9" t="n"/>
      <c r="D26" s="9" t="n"/>
      <c r="E26" s="8" t="n"/>
      <c r="F26" s="10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3">
        <f>IF($B26="","",COUNT(P26:X26)/9)</f>
        <v/>
      </c>
      <c r="Z26" s="8">
        <f>IF($B26="","",SUMPRODUCT((P26:X26="")*(G26:O26&gt;0)*(G26:O26&lt;TODAY())))</f>
        <v/>
      </c>
      <c r="AA26" s="14">
        <f>IF($B26="","",IF(Y26=1,"完了",IF(Z26&gt;0,"遅延",IF(COUNT(G26:O26,P26:X26)&gt;0,"進行中","未着手"))))</f>
        <v/>
      </c>
      <c r="AB26" s="10">
        <f>IF(OR($B26="",SUMPRODUCT((P26:X26="")*(G26:O26&gt;0))=0),"",AGGREGATE(15,6,G26:O26/((P26:X26="")*(G26:O26&gt;0)),1))</f>
        <v/>
      </c>
      <c r="AC26" s="9" t="n"/>
    </row>
    <row r="27" ht="20" customHeight="1">
      <c r="A27" s="8" t="n">
        <v>25</v>
      </c>
      <c r="B27" s="9" t="n"/>
      <c r="C27" s="9" t="n"/>
      <c r="D27" s="9" t="n"/>
      <c r="E27" s="8" t="n"/>
      <c r="F27" s="10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3">
        <f>IF($B27="","",COUNT(P27:X27)/9)</f>
        <v/>
      </c>
      <c r="Z27" s="8">
        <f>IF($B27="","",SUMPRODUCT((P27:X27="")*(G27:O27&gt;0)*(G27:O27&lt;TODAY())))</f>
        <v/>
      </c>
      <c r="AA27" s="14">
        <f>IF($B27="","",IF(Y27=1,"完了",IF(Z27&gt;0,"遅延",IF(COUNT(G27:O27,P27:X27)&gt;0,"進行中","未着手"))))</f>
        <v/>
      </c>
      <c r="AB27" s="10">
        <f>IF(OR($B27="",SUMPRODUCT((P27:X27="")*(G27:O27&gt;0))=0),"",AGGREGATE(15,6,G27:O27/((P27:X27="")*(G27:O27&gt;0)),1))</f>
        <v/>
      </c>
      <c r="AC27" s="9" t="n"/>
    </row>
    <row r="28" ht="20" customHeight="1">
      <c r="A28" s="8" t="n">
        <v>26</v>
      </c>
      <c r="B28" s="9" t="n"/>
      <c r="C28" s="9" t="n"/>
      <c r="D28" s="9" t="n"/>
      <c r="E28" s="8" t="n"/>
      <c r="F28" s="10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3">
        <f>IF($B28="","",COUNT(P28:X28)/9)</f>
        <v/>
      </c>
      <c r="Z28" s="8">
        <f>IF($B28="","",SUMPRODUCT((P28:X28="")*(G28:O28&gt;0)*(G28:O28&lt;TODAY())))</f>
        <v/>
      </c>
      <c r="AA28" s="14">
        <f>IF($B28="","",IF(Y28=1,"完了",IF(Z28&gt;0,"遅延",IF(COUNT(G28:O28,P28:X28)&gt;0,"進行中","未着手"))))</f>
        <v/>
      </c>
      <c r="AB28" s="10">
        <f>IF(OR($B28="",SUMPRODUCT((P28:X28="")*(G28:O28&gt;0))=0),"",AGGREGATE(15,6,G28:O28/((P28:X28="")*(G28:O28&gt;0)),1))</f>
        <v/>
      </c>
      <c r="AC28" s="9" t="n"/>
    </row>
    <row r="29" ht="20" customHeight="1">
      <c r="A29" s="8" t="n">
        <v>27</v>
      </c>
      <c r="B29" s="9" t="n"/>
      <c r="C29" s="9" t="n"/>
      <c r="D29" s="9" t="n"/>
      <c r="E29" s="8" t="n"/>
      <c r="F29" s="10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3">
        <f>IF($B29="","",COUNT(P29:X29)/9)</f>
        <v/>
      </c>
      <c r="Z29" s="8">
        <f>IF($B29="","",SUMPRODUCT((P29:X29="")*(G29:O29&gt;0)*(G29:O29&lt;TODAY())))</f>
        <v/>
      </c>
      <c r="AA29" s="14">
        <f>IF($B29="","",IF(Y29=1,"完了",IF(Z29&gt;0,"遅延",IF(COUNT(G29:O29,P29:X29)&gt;0,"進行中","未着手"))))</f>
        <v/>
      </c>
      <c r="AB29" s="10">
        <f>IF(OR($B29="",SUMPRODUCT((P29:X29="")*(G29:O29&gt;0))=0),"",AGGREGATE(15,6,G29:O29/((P29:X29="")*(G29:O29&gt;0)),1))</f>
        <v/>
      </c>
      <c r="AC29" s="9" t="n"/>
    </row>
    <row r="30" ht="20" customHeight="1">
      <c r="A30" s="8" t="n">
        <v>28</v>
      </c>
      <c r="B30" s="9" t="n"/>
      <c r="C30" s="9" t="n"/>
      <c r="D30" s="9" t="n"/>
      <c r="E30" s="8" t="n"/>
      <c r="F30" s="10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3">
        <f>IF($B30="","",COUNT(P30:X30)/9)</f>
        <v/>
      </c>
      <c r="Z30" s="8">
        <f>IF($B30="","",SUMPRODUCT((P30:X30="")*(G30:O30&gt;0)*(G30:O30&lt;TODAY())))</f>
        <v/>
      </c>
      <c r="AA30" s="14">
        <f>IF($B30="","",IF(Y30=1,"完了",IF(Z30&gt;0,"遅延",IF(COUNT(G30:O30,P30:X30)&gt;0,"進行中","未着手"))))</f>
        <v/>
      </c>
      <c r="AB30" s="10">
        <f>IF(OR($B30="",SUMPRODUCT((P30:X30="")*(G30:O30&gt;0))=0),"",AGGREGATE(15,6,G30:O30/((P30:X30="")*(G30:O30&gt;0)),1))</f>
        <v/>
      </c>
      <c r="AC30" s="9" t="n"/>
    </row>
    <row r="31" ht="20" customHeight="1">
      <c r="A31" s="8" t="n">
        <v>29</v>
      </c>
      <c r="B31" s="9" t="n"/>
      <c r="C31" s="9" t="n"/>
      <c r="D31" s="9" t="n"/>
      <c r="E31" s="8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3">
        <f>IF($B31="","",COUNT(P31:X31)/9)</f>
        <v/>
      </c>
      <c r="Z31" s="8">
        <f>IF($B31="","",SUMPRODUCT((P31:X31="")*(G31:O31&gt;0)*(G31:O31&lt;TODAY())))</f>
        <v/>
      </c>
      <c r="AA31" s="14">
        <f>IF($B31="","",IF(Y31=1,"完了",IF(Z31&gt;0,"遅延",IF(COUNT(G31:O31,P31:X31)&gt;0,"進行中","未着手"))))</f>
        <v/>
      </c>
      <c r="AB31" s="10">
        <f>IF(OR($B31="",SUMPRODUCT((P31:X31="")*(G31:O31&gt;0))=0),"",AGGREGATE(15,6,G31:O31/((P31:X31="")*(G31:O31&gt;0)),1))</f>
        <v/>
      </c>
      <c r="AC31" s="9" t="n"/>
    </row>
    <row r="32" ht="20" customHeight="1">
      <c r="A32" s="8" t="n">
        <v>30</v>
      </c>
      <c r="B32" s="9" t="n"/>
      <c r="C32" s="9" t="n"/>
      <c r="D32" s="9" t="n"/>
      <c r="E32" s="8" t="n"/>
      <c r="F32" s="10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3">
        <f>IF($B32="","",COUNT(P32:X32)/9)</f>
        <v/>
      </c>
      <c r="Z32" s="8">
        <f>IF($B32="","",SUMPRODUCT((P32:X32="")*(G32:O32&gt;0)*(G32:O32&lt;TODAY())))</f>
        <v/>
      </c>
      <c r="AA32" s="14">
        <f>IF($B32="","",IF(Y32=1,"完了",IF(Z32&gt;0,"遅延",IF(COUNT(G32:O32,P32:X32)&gt;0,"進行中","未着手"))))</f>
        <v/>
      </c>
      <c r="AB32" s="10">
        <f>IF(OR($B32="",SUMPRODUCT((P32:X32="")*(G32:O32&gt;0))=0),"",AGGREGATE(15,6,G32:O32/((P32:X32="")*(G32:O32&gt;0)),1))</f>
        <v/>
      </c>
      <c r="AC32" s="9" t="n"/>
    </row>
    <row r="33" ht="20" customHeight="1">
      <c r="A33" s="8" t="n">
        <v>31</v>
      </c>
      <c r="B33" s="9" t="n"/>
      <c r="C33" s="9" t="n"/>
      <c r="D33" s="9" t="n"/>
      <c r="E33" s="8" t="n"/>
      <c r="F33" s="10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3">
        <f>IF($B33="","",COUNT(P33:X33)/9)</f>
        <v/>
      </c>
      <c r="Z33" s="8">
        <f>IF($B33="","",SUMPRODUCT((P33:X33="")*(G33:O33&gt;0)*(G33:O33&lt;TODAY())))</f>
        <v/>
      </c>
      <c r="AA33" s="14">
        <f>IF($B33="","",IF(Y33=1,"完了",IF(Z33&gt;0,"遅延",IF(COUNT(G33:O33,P33:X33)&gt;0,"進行中","未着手"))))</f>
        <v/>
      </c>
      <c r="AB33" s="10">
        <f>IF(OR($B33="",SUMPRODUCT((P33:X33="")*(G33:O33&gt;0))=0),"",AGGREGATE(15,6,G33:O33/((P33:X33="")*(G33:O33&gt;0)),1))</f>
        <v/>
      </c>
      <c r="AC33" s="9" t="n"/>
    </row>
    <row r="34" ht="20" customHeight="1">
      <c r="A34" s="8" t="n">
        <v>32</v>
      </c>
      <c r="B34" s="9" t="n"/>
      <c r="C34" s="9" t="n"/>
      <c r="D34" s="9" t="n"/>
      <c r="E34" s="8" t="n"/>
      <c r="F34" s="10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3">
        <f>IF($B34="","",COUNT(P34:X34)/9)</f>
        <v/>
      </c>
      <c r="Z34" s="8">
        <f>IF($B34="","",SUMPRODUCT((P34:X34="")*(G34:O34&gt;0)*(G34:O34&lt;TODAY())))</f>
        <v/>
      </c>
      <c r="AA34" s="14">
        <f>IF($B34="","",IF(Y34=1,"完了",IF(Z34&gt;0,"遅延",IF(COUNT(G34:O34,P34:X34)&gt;0,"進行中","未着手"))))</f>
        <v/>
      </c>
      <c r="AB34" s="10">
        <f>IF(OR($B34="",SUMPRODUCT((P34:X34="")*(G34:O34&gt;0))=0),"",AGGREGATE(15,6,G34:O34/((P34:X34="")*(G34:O34&gt;0)),1))</f>
        <v/>
      </c>
      <c r="AC34" s="9" t="n"/>
    </row>
    <row r="35" ht="20" customHeight="1">
      <c r="A35" s="8" t="n">
        <v>33</v>
      </c>
      <c r="B35" s="9" t="n"/>
      <c r="C35" s="9" t="n"/>
      <c r="D35" s="9" t="n"/>
      <c r="E35" s="8" t="n"/>
      <c r="F35" s="10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3">
        <f>IF($B35="","",COUNT(P35:X35)/9)</f>
        <v/>
      </c>
      <c r="Z35" s="8">
        <f>IF($B35="","",SUMPRODUCT((P35:X35="")*(G35:O35&gt;0)*(G35:O35&lt;TODAY())))</f>
        <v/>
      </c>
      <c r="AA35" s="14">
        <f>IF($B35="","",IF(Y35=1,"完了",IF(Z35&gt;0,"遅延",IF(COUNT(G35:O35,P35:X35)&gt;0,"進行中","未着手"))))</f>
        <v/>
      </c>
      <c r="AB35" s="10">
        <f>IF(OR($B35="",SUMPRODUCT((P35:X35="")*(G35:O35&gt;0))=0),"",AGGREGATE(15,6,G35:O35/((P35:X35="")*(G35:O35&gt;0)),1))</f>
        <v/>
      </c>
      <c r="AC35" s="9" t="n"/>
    </row>
    <row r="36" ht="20" customHeight="1">
      <c r="A36" s="8" t="n">
        <v>34</v>
      </c>
      <c r="B36" s="9" t="n"/>
      <c r="C36" s="9" t="n"/>
      <c r="D36" s="9" t="n"/>
      <c r="E36" s="8" t="n"/>
      <c r="F36" s="10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3">
        <f>IF($B36="","",COUNT(P36:X36)/9)</f>
        <v/>
      </c>
      <c r="Z36" s="8">
        <f>IF($B36="","",SUMPRODUCT((P36:X36="")*(G36:O36&gt;0)*(G36:O36&lt;TODAY())))</f>
        <v/>
      </c>
      <c r="AA36" s="14">
        <f>IF($B36="","",IF(Y36=1,"完了",IF(Z36&gt;0,"遅延",IF(COUNT(G36:O36,P36:X36)&gt;0,"進行中","未着手"))))</f>
        <v/>
      </c>
      <c r="AB36" s="10">
        <f>IF(OR($B36="",SUMPRODUCT((P36:X36="")*(G36:O36&gt;0))=0),"",AGGREGATE(15,6,G36:O36/((P36:X36="")*(G36:O36&gt;0)),1))</f>
        <v/>
      </c>
      <c r="AC36" s="9" t="n"/>
    </row>
    <row r="37" ht="20" customHeight="1">
      <c r="A37" s="8" t="n">
        <v>35</v>
      </c>
      <c r="B37" s="9" t="n"/>
      <c r="C37" s="9" t="n"/>
      <c r="D37" s="9" t="n"/>
      <c r="E37" s="8" t="n"/>
      <c r="F37" s="10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3">
        <f>IF($B37="","",COUNT(P37:X37)/9)</f>
        <v/>
      </c>
      <c r="Z37" s="8">
        <f>IF($B37="","",SUMPRODUCT((P37:X37="")*(G37:O37&gt;0)*(G37:O37&lt;TODAY())))</f>
        <v/>
      </c>
      <c r="AA37" s="14">
        <f>IF($B37="","",IF(Y37=1,"完了",IF(Z37&gt;0,"遅延",IF(COUNT(G37:O37,P37:X37)&gt;0,"進行中","未着手"))))</f>
        <v/>
      </c>
      <c r="AB37" s="10">
        <f>IF(OR($B37="",SUMPRODUCT((P37:X37="")*(G37:O37&gt;0))=0),"",AGGREGATE(15,6,G37:O37/((P37:X37="")*(G37:O37&gt;0)),1))</f>
        <v/>
      </c>
      <c r="AC37" s="9" t="n"/>
    </row>
    <row r="38" ht="20" customHeight="1">
      <c r="A38" s="8" t="n">
        <v>36</v>
      </c>
      <c r="B38" s="9" t="n"/>
      <c r="C38" s="9" t="n"/>
      <c r="D38" s="9" t="n"/>
      <c r="E38" s="8" t="n"/>
      <c r="F38" s="10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3">
        <f>IF($B38="","",COUNT(P38:X38)/9)</f>
        <v/>
      </c>
      <c r="Z38" s="8">
        <f>IF($B38="","",SUMPRODUCT((P38:X38="")*(G38:O38&gt;0)*(G38:O38&lt;TODAY())))</f>
        <v/>
      </c>
      <c r="AA38" s="14">
        <f>IF($B38="","",IF(Y38=1,"完了",IF(Z38&gt;0,"遅延",IF(COUNT(G38:O38,P38:X38)&gt;0,"進行中","未着手"))))</f>
        <v/>
      </c>
      <c r="AB38" s="10">
        <f>IF(OR($B38="",SUMPRODUCT((P38:X38="")*(G38:O38&gt;0))=0),"",AGGREGATE(15,6,G38:O38/((P38:X38="")*(G38:O38&gt;0)),1))</f>
        <v/>
      </c>
      <c r="AC38" s="9" t="n"/>
    </row>
    <row r="39" ht="20" customHeight="1">
      <c r="A39" s="8" t="n">
        <v>37</v>
      </c>
      <c r="B39" s="9" t="n"/>
      <c r="C39" s="9" t="n"/>
      <c r="D39" s="9" t="n"/>
      <c r="E39" s="8" t="n"/>
      <c r="F39" s="10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3">
        <f>IF($B39="","",COUNT(P39:X39)/9)</f>
        <v/>
      </c>
      <c r="Z39" s="8">
        <f>IF($B39="","",SUMPRODUCT((P39:X39="")*(G39:O39&gt;0)*(G39:O39&lt;TODAY())))</f>
        <v/>
      </c>
      <c r="AA39" s="14">
        <f>IF($B39="","",IF(Y39=1,"完了",IF(Z39&gt;0,"遅延",IF(COUNT(G39:O39,P39:X39)&gt;0,"進行中","未着手"))))</f>
        <v/>
      </c>
      <c r="AB39" s="10">
        <f>IF(OR($B39="",SUMPRODUCT((P39:X39="")*(G39:O39&gt;0))=0),"",AGGREGATE(15,6,G39:O39/((P39:X39="")*(G39:O39&gt;0)),1))</f>
        <v/>
      </c>
      <c r="AC39" s="9" t="n"/>
    </row>
    <row r="40" ht="20" customHeight="1">
      <c r="A40" s="8" t="n">
        <v>38</v>
      </c>
      <c r="B40" s="9" t="n"/>
      <c r="C40" s="9" t="n"/>
      <c r="D40" s="9" t="n"/>
      <c r="E40" s="8" t="n"/>
      <c r="F40" s="10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3">
        <f>IF($B40="","",COUNT(P40:X40)/9)</f>
        <v/>
      </c>
      <c r="Z40" s="8">
        <f>IF($B40="","",SUMPRODUCT((P40:X40="")*(G40:O40&gt;0)*(G40:O40&lt;TODAY())))</f>
        <v/>
      </c>
      <c r="AA40" s="14">
        <f>IF($B40="","",IF(Y40=1,"完了",IF(Z40&gt;0,"遅延",IF(COUNT(G40:O40,P40:X40)&gt;0,"進行中","未着手"))))</f>
        <v/>
      </c>
      <c r="AB40" s="10">
        <f>IF(OR($B40="",SUMPRODUCT((P40:X40="")*(G40:O40&gt;0))=0),"",AGGREGATE(15,6,G40:O40/((P40:X40="")*(G40:O40&gt;0)),1))</f>
        <v/>
      </c>
      <c r="AC40" s="9" t="n"/>
    </row>
    <row r="41" ht="20" customHeight="1">
      <c r="A41" s="8" t="n">
        <v>39</v>
      </c>
      <c r="B41" s="9" t="n"/>
      <c r="C41" s="9" t="n"/>
      <c r="D41" s="9" t="n"/>
      <c r="E41" s="8" t="n"/>
      <c r="F41" s="10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3">
        <f>IF($B41="","",COUNT(P41:X41)/9)</f>
        <v/>
      </c>
      <c r="Z41" s="8">
        <f>IF($B41="","",SUMPRODUCT((P41:X41="")*(G41:O41&gt;0)*(G41:O41&lt;TODAY())))</f>
        <v/>
      </c>
      <c r="AA41" s="14">
        <f>IF($B41="","",IF(Y41=1,"完了",IF(Z41&gt;0,"遅延",IF(COUNT(G41:O41,P41:X41)&gt;0,"進行中","未着手"))))</f>
        <v/>
      </c>
      <c r="AB41" s="10">
        <f>IF(OR($B41="",SUMPRODUCT((P41:X41="")*(G41:O41&gt;0))=0),"",AGGREGATE(15,6,G41:O41/((P41:X41="")*(G41:O41&gt;0)),1))</f>
        <v/>
      </c>
      <c r="AC41" s="9" t="n"/>
    </row>
    <row r="42" ht="20" customHeight="1">
      <c r="A42" s="8" t="n">
        <v>40</v>
      </c>
      <c r="B42" s="9" t="n"/>
      <c r="C42" s="9" t="n"/>
      <c r="D42" s="9" t="n"/>
      <c r="E42" s="8" t="n"/>
      <c r="F42" s="10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3">
        <f>IF($B42="","",COUNT(P42:X42)/9)</f>
        <v/>
      </c>
      <c r="Z42" s="8">
        <f>IF($B42="","",SUMPRODUCT((P42:X42="")*(G42:O42&gt;0)*(G42:O42&lt;TODAY())))</f>
        <v/>
      </c>
      <c r="AA42" s="14">
        <f>IF($B42="","",IF(Y42=1,"完了",IF(Z42&gt;0,"遅延",IF(COUNT(G42:O42,P42:X42)&gt;0,"進行中","未着手"))))</f>
        <v/>
      </c>
      <c r="AB42" s="10">
        <f>IF(OR($B42="",SUMPRODUCT((P42:X42="")*(G42:O42&gt;0))=0),"",AGGREGATE(15,6,G42:O42/((P42:X42="")*(G42:O42&gt;0)),1))</f>
        <v/>
      </c>
      <c r="AC42" s="9" t="n"/>
    </row>
  </sheetData>
  <autoFilter ref="A2:AC42"/>
  <mergeCells count="4">
    <mergeCell ref="P1:X1"/>
    <mergeCell ref="A1:F1"/>
    <mergeCell ref="G1:O1"/>
    <mergeCell ref="Y1:AC1"/>
  </mergeCells>
  <conditionalFormatting sqref="AA3:AA42">
    <cfRule type="expression" priority="1" dxfId="0">
      <formula>AA3="完了"</formula>
    </cfRule>
    <cfRule type="expression" priority="2" dxfId="1">
      <formula>AA3="遅延"</formula>
    </cfRule>
    <cfRule type="expression" priority="3" dxfId="2">
      <formula>AA3="進行中"</formula>
    </cfRule>
    <cfRule type="expression" priority="4" dxfId="3">
      <formula>AA3="未着手"</formula>
    </cfRule>
  </conditionalFormatting>
  <conditionalFormatting sqref="Z3:Z42">
    <cfRule type="expression" priority="5" dxfId="1">
      <formula>Z3&gt;0</formula>
    </cfRule>
  </conditionalFormatting>
  <conditionalFormatting sqref="G3:O42">
    <cfRule type="expression" priority="6" dxfId="4">
      <formula>AND(G3&lt;&gt;"",G3&lt;TODAY(),P3="")</formula>
    </cfRule>
  </conditionalFormatting>
  <conditionalFormatting sqref="P3:X42">
    <cfRule type="expression" priority="7" dxfId="5">
      <formula>AND(P3&lt;&gt;"",G3&lt;&gt;"",P3&gt;G3)</formula>
    </cfRule>
  </conditionalFormatting>
  <conditionalFormatting sqref="Y3:Y42">
    <cfRule type="dataBar" priority="8">
      <dataBar showValue="1">
        <cfvo type="num" val="0"/>
        <cfvo type="num" val="1"/>
        <color rgb="0022C55E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5" t="inlineStr">
        <is>
          <t>🔋 蓄電池設置 進捗ダッシュボード</t>
        </is>
      </c>
    </row>
    <row r="4">
      <c r="B4" s="16" t="inlineStr">
        <is>
          <t>総案件数</t>
        </is>
      </c>
      <c r="C4" s="16" t="inlineStr">
        <is>
          <t>進行中</t>
        </is>
      </c>
      <c r="D4" s="16" t="inlineStr">
        <is>
          <t>遅延あり</t>
        </is>
      </c>
      <c r="E4" s="16" t="inlineStr">
        <is>
          <t>完了</t>
        </is>
      </c>
      <c r="F4" s="16" t="inlineStr">
        <is>
          <t>未着手</t>
        </is>
      </c>
    </row>
    <row r="5" ht="40" customHeight="1">
      <c r="B5" s="17">
        <f>COUNTA(進捗管理!$B$3:$B$42)</f>
        <v/>
      </c>
      <c r="C5" s="18">
        <f>COUNTIF(進捗管理!$AA$3:$AA$42,"進行中")</f>
        <v/>
      </c>
      <c r="D5" s="19">
        <f>COUNTIF(進捗管理!$AA$3:$AA$42,"遅延")</f>
        <v/>
      </c>
      <c r="E5" s="20">
        <f>COUNTIF(進捗管理!$AA$3:$AA$42,"完了")</f>
        <v/>
      </c>
      <c r="F5" s="21">
        <f>COUNTIF(進捗管理!$AA$3:$AA$42,"未着手")</f>
        <v/>
      </c>
    </row>
    <row r="7">
      <c r="B7" s="22" t="inlineStr">
        <is>
          <t>平均進捗率</t>
        </is>
      </c>
      <c r="C7" s="23">
        <f>IFERROR(AVERAGE(進捗管理!$Y$3:$Y$42),0)</f>
        <v/>
      </c>
    </row>
    <row r="10">
      <c r="B10" s="24" t="inlineStr">
        <is>
          <t>■ 使い方</t>
        </is>
      </c>
    </row>
    <row r="11">
      <c r="B11" s="25" t="inlineStr">
        <is>
          <t>1. 「進捗管理」シートに案件を1行ずつ入力します（案件名・顧客・担当・容量・受注日）。</t>
        </is>
      </c>
    </row>
    <row r="12">
      <c r="B12" s="25" t="inlineStr">
        <is>
          <t>2. 各工程の『予定日』と、完了したら『実績日』を入力します。</t>
        </is>
      </c>
    </row>
    <row r="13">
      <c r="B13" s="25" t="inlineStr">
        <is>
          <t>3. 進捗率・遅延工程・ステータス・次の期限は自動計算されます（入力不要）。</t>
        </is>
      </c>
    </row>
    <row r="14">
      <c r="B14" s="25" t="inlineStr"/>
    </row>
    <row r="15">
      <c r="B15" s="24" t="inlineStr">
        <is>
          <t>■ 色の意味</t>
        </is>
      </c>
    </row>
    <row r="16">
      <c r="B16" s="25" t="inlineStr">
        <is>
          <t>・予定日セルが赤 … 予定日を過ぎたのに実績日が未入力（遅延）</t>
        </is>
      </c>
    </row>
    <row r="17">
      <c r="B17" s="25" t="inlineStr">
        <is>
          <t>・実績日セルが橙 … 実績日が予定日より遅れて完了</t>
        </is>
      </c>
    </row>
    <row r="18">
      <c r="B18" s="25" t="inlineStr">
        <is>
          <t>・ステータス緑=完了 / 赤=遅延 / 青=進行中 / 灰=未着手</t>
        </is>
      </c>
    </row>
    <row r="19">
      <c r="B19" s="25" t="inlineStr"/>
    </row>
    <row r="20">
      <c r="B20" s="24" t="inlineStr">
        <is>
          <t>■ 標準工程（9ステップ）</t>
        </is>
      </c>
    </row>
    <row r="21">
      <c r="B21" s="25" t="inlineStr">
        <is>
          <t>受注・契約 → 現地調査 → 設計・図面 → 補助金申請 → 系統連系申請 →</t>
        </is>
      </c>
    </row>
    <row r="22">
      <c r="B22" s="25" t="inlineStr">
        <is>
          <t>機器発注・納品 → 設置工事 → 完了検査・連系 → 引渡し</t>
        </is>
      </c>
    </row>
    <row r="23">
      <c r="B23" s="25" t="inlineStr"/>
    </row>
    <row r="24">
      <c r="B24" s="25" t="inlineStr">
        <is>
          <t>※ 工程を増減したい場合は「進捗管理」シートの列を追加・削除し、数式範囲を調整してください。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2026-07-12T11:49:35Z</dcterms:created>
  <dcterms:modified xsi:type="dcterms:W3CDTF">2026-07-12T11:49:35Z</dcterms:modified>
</cp:coreProperties>
</file>